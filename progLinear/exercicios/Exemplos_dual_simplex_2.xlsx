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d.docs.live.net/29ef9a7b83f2ddc4/Arquivo_pessoal/Ensino/programacao-linear/"/>
    </mc:Choice>
  </mc:AlternateContent>
  <xr:revisionPtr revIDLastSave="1556" documentId="8_{55D4FCCA-69F9-429B-842A-23C0F2E878A8}" xr6:coauthVersionLast="47" xr6:coauthVersionMax="47" xr10:uidLastSave="{146F4586-95C3-4793-9FB0-741BC7C4C299}"/>
  <bookViews>
    <workbookView xWindow="-108" yWindow="-108" windowWidth="23256" windowHeight="12456" firstSheet="3" activeTab="3" xr2:uid="{B5FD1BA5-9F2F-4467-885D-7AFFFA860423}"/>
  </bookViews>
  <sheets>
    <sheet name="Exercicio1" sheetId="1" r:id="rId1"/>
    <sheet name="Exercicio2-dual" sheetId="2" r:id="rId2"/>
    <sheet name="Exercicio3-dual" sheetId="3" r:id="rId3"/>
    <sheet name="Exercicio4-dual" sheetId="4" r:id="rId4"/>
  </sheets>
  <definedNames>
    <definedName name="solver_adj" localSheetId="0" hidden="1">Exercicio1!$D$5:$E$5</definedName>
    <definedName name="solver_adj" localSheetId="1" hidden="1">'Exercicio2-dual'!$B$17:$C$17</definedName>
    <definedName name="solver_adj" localSheetId="2" hidden="1">'Exercicio3-dual'!$B$21:$D$21</definedName>
    <definedName name="solver_adj" localSheetId="3" hidden="1">'Exercicio4-dual'!$B$20:$D$20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lhs1" localSheetId="0" hidden="1">Exercicio1!$F$8:$F$10</definedName>
    <definedName name="solver_lhs1" localSheetId="1" hidden="1">'Exercicio2-dual'!$D$22:$D$23</definedName>
    <definedName name="solver_lhs1" localSheetId="2" hidden="1">'Exercicio3-dual'!$E$17:$E$19</definedName>
    <definedName name="solver_lhs1" localSheetId="3" hidden="1">'Exercicio4-dual'!$E$17:$E$18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um" localSheetId="0" hidden="1">1</definedName>
    <definedName name="solver_num" localSheetId="1" hidden="1">1</definedName>
    <definedName name="solver_num" localSheetId="2" hidden="1">1</definedName>
    <definedName name="solver_num" localSheetId="3" hidden="1">1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opt" localSheetId="0" hidden="1">Exercicio1!$H$3</definedName>
    <definedName name="solver_opt" localSheetId="1" hidden="1">'Exercicio2-dual'!$F$20</definedName>
    <definedName name="solver_opt" localSheetId="2" hidden="1">'Exercicio3-dual'!$G$23</definedName>
    <definedName name="solver_opt" localSheetId="3" hidden="1">'Exercicio4-dual'!$G$22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el1" localSheetId="0" hidden="1">3</definedName>
    <definedName name="solver_rel1" localSheetId="1" hidden="1">3</definedName>
    <definedName name="solver_rel1" localSheetId="2" hidden="1">3</definedName>
    <definedName name="solver_rel1" localSheetId="3" hidden="1">3</definedName>
    <definedName name="solver_rhs1" localSheetId="0" hidden="1">Exercicio1!$G$8:$G$10</definedName>
    <definedName name="solver_rhs1" localSheetId="1" hidden="1">'Exercicio2-dual'!$E$22:$E$23</definedName>
    <definedName name="solver_rhs1" localSheetId="2" hidden="1">'Exercicio3-dual'!$F$17:$F$19</definedName>
    <definedName name="solver_rhs1" localSheetId="3" hidden="1">'Exercicio4-dual'!$F$17:$F$18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yp" localSheetId="0" hidden="1">2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50" i="3" l="1"/>
  <c r="M44" i="3"/>
  <c r="M38" i="3"/>
  <c r="K39" i="4"/>
  <c r="K34" i="4"/>
  <c r="J44" i="2"/>
  <c r="J38" i="2"/>
  <c r="H45" i="4"/>
  <c r="G45" i="4"/>
  <c r="F45" i="4"/>
  <c r="E45" i="4"/>
  <c r="D45" i="4"/>
  <c r="E44" i="4"/>
  <c r="F44" i="4"/>
  <c r="G44" i="4"/>
  <c r="H44" i="4"/>
  <c r="I44" i="4"/>
  <c r="D44" i="4"/>
  <c r="I43" i="4"/>
  <c r="E43" i="4"/>
  <c r="F43" i="4"/>
  <c r="G43" i="4"/>
  <c r="H43" i="4"/>
  <c r="D43" i="4"/>
  <c r="I42" i="4"/>
  <c r="E42" i="4"/>
  <c r="F42" i="4"/>
  <c r="G42" i="4"/>
  <c r="H42" i="4"/>
  <c r="D42" i="4"/>
  <c r="J39" i="4"/>
  <c r="I39" i="4"/>
  <c r="H39" i="4"/>
  <c r="G39" i="4"/>
  <c r="F39" i="4"/>
  <c r="E39" i="4"/>
  <c r="D39" i="4"/>
  <c r="E38" i="4"/>
  <c r="F38" i="4"/>
  <c r="G38" i="4"/>
  <c r="H38" i="4"/>
  <c r="I38" i="4"/>
  <c r="J38" i="4"/>
  <c r="K38" i="4"/>
  <c r="D38" i="4"/>
  <c r="E36" i="4"/>
  <c r="F36" i="4"/>
  <c r="G36" i="4"/>
  <c r="H36" i="4"/>
  <c r="I36" i="4"/>
  <c r="J36" i="4"/>
  <c r="K36" i="4"/>
  <c r="D36" i="4"/>
  <c r="E37" i="4"/>
  <c r="F37" i="4"/>
  <c r="G37" i="4"/>
  <c r="H37" i="4"/>
  <c r="I37" i="4"/>
  <c r="J37" i="4"/>
  <c r="K37" i="4"/>
  <c r="D37" i="4"/>
  <c r="I34" i="4"/>
  <c r="H34" i="4"/>
  <c r="G34" i="4"/>
  <c r="F34" i="4"/>
  <c r="E34" i="4"/>
  <c r="D34" i="4"/>
  <c r="E33" i="4"/>
  <c r="F33" i="4"/>
  <c r="G33" i="4"/>
  <c r="H33" i="4"/>
  <c r="I33" i="4"/>
  <c r="J33" i="4"/>
  <c r="K33" i="4"/>
  <c r="D33" i="4"/>
  <c r="E32" i="4"/>
  <c r="F32" i="4"/>
  <c r="G32" i="4"/>
  <c r="H32" i="4"/>
  <c r="I32" i="4"/>
  <c r="J32" i="4"/>
  <c r="K32" i="4"/>
  <c r="D32" i="4"/>
  <c r="E31" i="4"/>
  <c r="F31" i="4"/>
  <c r="G31" i="4"/>
  <c r="H31" i="4"/>
  <c r="I31" i="4"/>
  <c r="J31" i="4"/>
  <c r="K31" i="4"/>
  <c r="D31" i="4"/>
  <c r="E29" i="4"/>
  <c r="E18" i="4"/>
  <c r="E17" i="4"/>
  <c r="M27" i="4"/>
  <c r="M26" i="4"/>
  <c r="E28" i="4"/>
  <c r="F28" i="4"/>
  <c r="F29" i="4" s="1"/>
  <c r="G28" i="4"/>
  <c r="H28" i="4"/>
  <c r="I28" i="4"/>
  <c r="J28" i="4"/>
  <c r="K28" i="4"/>
  <c r="D28" i="4"/>
  <c r="D29" i="4" s="1"/>
  <c r="G22" i="4"/>
  <c r="F10" i="4"/>
  <c r="D5" i="4"/>
  <c r="D4" i="4"/>
  <c r="D3" i="4"/>
  <c r="F57" i="3"/>
  <c r="E57" i="3"/>
  <c r="D57" i="3"/>
  <c r="F41" i="3"/>
  <c r="F47" i="3" s="1"/>
  <c r="F54" i="3" s="1"/>
  <c r="D41" i="3"/>
  <c r="D47" i="3" s="1"/>
  <c r="D54" i="3" s="1"/>
  <c r="J34" i="3"/>
  <c r="J37" i="3" s="1"/>
  <c r="J38" i="3" s="1"/>
  <c r="J36" i="3"/>
  <c r="M36" i="3"/>
  <c r="E35" i="3"/>
  <c r="E41" i="3" s="1"/>
  <c r="E47" i="3" s="1"/>
  <c r="E54" i="3" s="1"/>
  <c r="F35" i="3"/>
  <c r="F34" i="3" s="1"/>
  <c r="G35" i="3"/>
  <c r="G41" i="3" s="1"/>
  <c r="G47" i="3" s="1"/>
  <c r="G54" i="3" s="1"/>
  <c r="H35" i="3"/>
  <c r="H41" i="3" s="1"/>
  <c r="H47" i="3" s="1"/>
  <c r="H54" i="3" s="1"/>
  <c r="I35" i="3"/>
  <c r="I41" i="3" s="1"/>
  <c r="I47" i="3" s="1"/>
  <c r="I54" i="3" s="1"/>
  <c r="J35" i="3"/>
  <c r="J41" i="3" s="1"/>
  <c r="J47" i="3" s="1"/>
  <c r="K35" i="3"/>
  <c r="K41" i="3" s="1"/>
  <c r="K47" i="3" s="1"/>
  <c r="L35" i="3"/>
  <c r="L36" i="3" s="1"/>
  <c r="M35" i="3"/>
  <c r="Q35" i="3" s="1"/>
  <c r="D35" i="3"/>
  <c r="D34" i="3" s="1"/>
  <c r="O29" i="3"/>
  <c r="O30" i="3"/>
  <c r="O28" i="3"/>
  <c r="I32" i="3"/>
  <c r="E19" i="3"/>
  <c r="E18" i="3"/>
  <c r="E17" i="3"/>
  <c r="G23" i="3"/>
  <c r="G11" i="3"/>
  <c r="E6" i="3"/>
  <c r="E5" i="3"/>
  <c r="E4" i="3"/>
  <c r="G50" i="2"/>
  <c r="F50" i="2"/>
  <c r="E50" i="2"/>
  <c r="D50" i="2"/>
  <c r="E49" i="2"/>
  <c r="F49" i="2"/>
  <c r="G49" i="2"/>
  <c r="H49" i="2"/>
  <c r="D49" i="2"/>
  <c r="H48" i="2"/>
  <c r="E48" i="2"/>
  <c r="F48" i="2"/>
  <c r="G48" i="2"/>
  <c r="D48" i="2"/>
  <c r="H47" i="2"/>
  <c r="E47" i="2"/>
  <c r="F47" i="2"/>
  <c r="G47" i="2"/>
  <c r="D47" i="2"/>
  <c r="I44" i="2"/>
  <c r="H44" i="2"/>
  <c r="G44" i="2"/>
  <c r="F44" i="2"/>
  <c r="E44" i="2"/>
  <c r="D44" i="2"/>
  <c r="E43" i="2"/>
  <c r="F43" i="2"/>
  <c r="G43" i="2"/>
  <c r="H43" i="2"/>
  <c r="I43" i="2"/>
  <c r="J43" i="2"/>
  <c r="D43" i="2"/>
  <c r="E42" i="2"/>
  <c r="F42" i="2"/>
  <c r="G42" i="2"/>
  <c r="H42" i="2"/>
  <c r="I42" i="2"/>
  <c r="J42" i="2"/>
  <c r="D42" i="2"/>
  <c r="E41" i="2"/>
  <c r="F41" i="2"/>
  <c r="G41" i="2"/>
  <c r="H41" i="2"/>
  <c r="I41" i="2"/>
  <c r="J41" i="2"/>
  <c r="D41" i="2"/>
  <c r="I38" i="2"/>
  <c r="H38" i="2"/>
  <c r="G38" i="2"/>
  <c r="F38" i="2"/>
  <c r="E38" i="2"/>
  <c r="D38" i="2"/>
  <c r="E37" i="2"/>
  <c r="F37" i="2"/>
  <c r="G37" i="2"/>
  <c r="H37" i="2"/>
  <c r="I37" i="2"/>
  <c r="J37" i="2"/>
  <c r="D37" i="2"/>
  <c r="E35" i="2"/>
  <c r="F35" i="2"/>
  <c r="G35" i="2"/>
  <c r="H35" i="2"/>
  <c r="I35" i="2"/>
  <c r="J35" i="2"/>
  <c r="D35" i="2"/>
  <c r="E36" i="2"/>
  <c r="F36" i="2"/>
  <c r="G36" i="2"/>
  <c r="H36" i="2"/>
  <c r="I36" i="2"/>
  <c r="J36" i="2"/>
  <c r="D36" i="2"/>
  <c r="M29" i="2"/>
  <c r="M28" i="2"/>
  <c r="F20" i="2"/>
  <c r="D23" i="2"/>
  <c r="D22" i="2"/>
  <c r="D9" i="2"/>
  <c r="D10" i="2"/>
  <c r="F6" i="2"/>
  <c r="L34" i="3" l="1"/>
  <c r="L40" i="3" s="1"/>
  <c r="L42" i="3" s="1"/>
  <c r="L48" i="3" s="1"/>
  <c r="L46" i="3" s="1"/>
  <c r="L49" i="3" s="1"/>
  <c r="L50" i="3" s="1"/>
  <c r="G34" i="3"/>
  <c r="G40" i="3" s="1"/>
  <c r="G36" i="3"/>
  <c r="G42" i="3" s="1"/>
  <c r="G48" i="3" s="1"/>
  <c r="E36" i="3"/>
  <c r="D40" i="3"/>
  <c r="D37" i="3"/>
  <c r="D38" i="3" s="1"/>
  <c r="F40" i="3"/>
  <c r="K36" i="3"/>
  <c r="M34" i="3"/>
  <c r="E34" i="3"/>
  <c r="I36" i="3"/>
  <c r="K34" i="3"/>
  <c r="M41" i="3"/>
  <c r="M47" i="3" s="1"/>
  <c r="J54" i="3" s="1"/>
  <c r="H36" i="3"/>
  <c r="L37" i="3"/>
  <c r="L38" i="3" s="1"/>
  <c r="J40" i="3"/>
  <c r="L41" i="3"/>
  <c r="L47" i="3" s="1"/>
  <c r="I34" i="3"/>
  <c r="D36" i="3"/>
  <c r="F36" i="3"/>
  <c r="Q36" i="3" s="1"/>
  <c r="H34" i="3"/>
  <c r="G37" i="3" l="1"/>
  <c r="G38" i="3" s="1"/>
  <c r="J42" i="3"/>
  <c r="J48" i="3" s="1"/>
  <c r="J46" i="3" s="1"/>
  <c r="J49" i="3" s="1"/>
  <c r="J50" i="3" s="1"/>
  <c r="J43" i="3"/>
  <c r="J44" i="3" s="1"/>
  <c r="D42" i="3"/>
  <c r="D48" i="3" s="1"/>
  <c r="H37" i="3"/>
  <c r="H38" i="3" s="1"/>
  <c r="H40" i="3"/>
  <c r="L43" i="3"/>
  <c r="L44" i="3" s="1"/>
  <c r="Q34" i="3"/>
  <c r="M37" i="3"/>
  <c r="M40" i="3"/>
  <c r="G43" i="3"/>
  <c r="G44" i="3" s="1"/>
  <c r="G55" i="3"/>
  <c r="G56" i="3" s="1"/>
  <c r="G57" i="3" s="1"/>
  <c r="G46" i="3"/>
  <c r="G49" i="3" s="1"/>
  <c r="G50" i="3" s="1"/>
  <c r="I37" i="3"/>
  <c r="I38" i="3" s="1"/>
  <c r="I40" i="3"/>
  <c r="F37" i="3"/>
  <c r="F38" i="3" s="1"/>
  <c r="K37" i="3"/>
  <c r="K38" i="3" s="1"/>
  <c r="K40" i="3"/>
  <c r="E37" i="3"/>
  <c r="E38" i="3" s="1"/>
  <c r="E40" i="3"/>
  <c r="F42" i="3"/>
  <c r="F48" i="3" s="1"/>
  <c r="H42" i="3" l="1"/>
  <c r="H48" i="3" s="1"/>
  <c r="F55" i="3"/>
  <c r="F56" i="3" s="1"/>
  <c r="F46" i="3"/>
  <c r="F49" i="3" s="1"/>
  <c r="F50" i="3" s="1"/>
  <c r="I42" i="3"/>
  <c r="I48" i="3" s="1"/>
  <c r="E42" i="3"/>
  <c r="E48" i="3" s="1"/>
  <c r="D43" i="3"/>
  <c r="D44" i="3" s="1"/>
  <c r="F43" i="3"/>
  <c r="F44" i="3" s="1"/>
  <c r="D46" i="3"/>
  <c r="D49" i="3" s="1"/>
  <c r="D50" i="3" s="1"/>
  <c r="D55" i="3"/>
  <c r="D56" i="3" s="1"/>
  <c r="K42" i="3"/>
  <c r="K48" i="3" s="1"/>
  <c r="K46" i="3" s="1"/>
  <c r="K49" i="3" s="1"/>
  <c r="K50" i="3" s="1"/>
  <c r="K43" i="3"/>
  <c r="K44" i="3" s="1"/>
  <c r="M42" i="3"/>
  <c r="M48" i="3" s="1"/>
  <c r="H43" i="3" l="1"/>
  <c r="H44" i="3" s="1"/>
  <c r="J55" i="3"/>
  <c r="M46" i="3"/>
  <c r="E55" i="3"/>
  <c r="E56" i="3" s="1"/>
  <c r="E46" i="3"/>
  <c r="E49" i="3" s="1"/>
  <c r="E50" i="3" s="1"/>
  <c r="M43" i="3"/>
  <c r="E43" i="3"/>
  <c r="E44" i="3" s="1"/>
  <c r="I46" i="3"/>
  <c r="I49" i="3" s="1"/>
  <c r="I50" i="3" s="1"/>
  <c r="I55" i="3"/>
  <c r="I56" i="3" s="1"/>
  <c r="I57" i="3" s="1"/>
  <c r="I43" i="3"/>
  <c r="I44" i="3" s="1"/>
  <c r="H55" i="3"/>
  <c r="H56" i="3" s="1"/>
  <c r="H57" i="3" s="1"/>
  <c r="H46" i="3"/>
  <c r="H49" i="3" s="1"/>
  <c r="H50" i="3" s="1"/>
  <c r="M49" i="3" l="1"/>
  <c r="J53" i="3"/>
  <c r="J56" i="3" s="1"/>
  <c r="H59" i="1"/>
  <c r="G59" i="1"/>
  <c r="F59" i="1"/>
  <c r="E59" i="1"/>
  <c r="D59" i="1"/>
  <c r="E58" i="1"/>
  <c r="F58" i="1"/>
  <c r="G58" i="1"/>
  <c r="H58" i="1"/>
  <c r="I58" i="1"/>
  <c r="D58" i="1"/>
  <c r="E57" i="1"/>
  <c r="F57" i="1"/>
  <c r="G57" i="1"/>
  <c r="H57" i="1"/>
  <c r="I57" i="1"/>
  <c r="D57" i="1"/>
  <c r="E55" i="1"/>
  <c r="F55" i="1"/>
  <c r="G55" i="1"/>
  <c r="H55" i="1"/>
  <c r="I55" i="1"/>
  <c r="D55" i="1"/>
  <c r="E56" i="1"/>
  <c r="F56" i="1"/>
  <c r="G56" i="1"/>
  <c r="H56" i="1"/>
  <c r="I56" i="1"/>
  <c r="D56" i="1"/>
  <c r="E40" i="1"/>
  <c r="E48" i="1" s="1"/>
  <c r="F40" i="1"/>
  <c r="F48" i="1" s="1"/>
  <c r="G40" i="1"/>
  <c r="G48" i="1" s="1"/>
  <c r="H40" i="1"/>
  <c r="H48" i="1" s="1"/>
  <c r="I40" i="1"/>
  <c r="J40" i="1"/>
  <c r="K40" i="1"/>
  <c r="L40" i="1"/>
  <c r="D40" i="1"/>
  <c r="D48" i="1" s="1"/>
  <c r="P32" i="1"/>
  <c r="F34" i="1"/>
  <c r="G34" i="1"/>
  <c r="G33" i="1" s="1"/>
  <c r="P25" i="1"/>
  <c r="P24" i="1"/>
  <c r="E26" i="1"/>
  <c r="E27" i="1" s="1"/>
  <c r="E28" i="1" s="1"/>
  <c r="F26" i="1"/>
  <c r="F27" i="1" s="1"/>
  <c r="F28" i="1" s="1"/>
  <c r="G26" i="1"/>
  <c r="G27" i="1" s="1"/>
  <c r="G28" i="1" s="1"/>
  <c r="H26" i="1"/>
  <c r="H34" i="1" s="1"/>
  <c r="I26" i="1"/>
  <c r="I27" i="1" s="1"/>
  <c r="I28" i="1" s="1"/>
  <c r="J26" i="1"/>
  <c r="J34" i="1" s="1"/>
  <c r="K26" i="1"/>
  <c r="K27" i="1" s="1"/>
  <c r="K28" i="1" s="1"/>
  <c r="L26" i="1"/>
  <c r="L27" i="1" s="1"/>
  <c r="L28" i="1" s="1"/>
  <c r="D26" i="1"/>
  <c r="D27" i="1" s="1"/>
  <c r="D28" i="1" s="1"/>
  <c r="P16" i="1"/>
  <c r="P17" i="1"/>
  <c r="P18" i="1"/>
  <c r="G11" i="1"/>
  <c r="E11" i="1"/>
  <c r="D11" i="1"/>
  <c r="F9" i="1"/>
  <c r="F10" i="1"/>
  <c r="F8" i="1"/>
  <c r="H3" i="1"/>
  <c r="J27" i="1" l="1"/>
  <c r="J28" i="1" s="1"/>
  <c r="P26" i="1"/>
  <c r="H33" i="1"/>
  <c r="G41" i="1"/>
  <c r="G49" i="1" s="1"/>
  <c r="G35" i="1"/>
  <c r="G36" i="1" s="1"/>
  <c r="J33" i="1"/>
  <c r="J42" i="1" s="1"/>
  <c r="H27" i="1"/>
  <c r="H28" i="1" s="1"/>
  <c r="D34" i="1"/>
  <c r="E34" i="1"/>
  <c r="F33" i="1"/>
  <c r="F42" i="1" s="1"/>
  <c r="I48" i="1"/>
  <c r="L34" i="1"/>
  <c r="K34" i="1"/>
  <c r="G42" i="1"/>
  <c r="G50" i="1" s="1"/>
  <c r="G51" i="1" s="1"/>
  <c r="G52" i="1" s="1"/>
  <c r="I34" i="1"/>
  <c r="M48" i="1" l="1"/>
  <c r="D33" i="1"/>
  <c r="K33" i="1"/>
  <c r="H41" i="1"/>
  <c r="H35" i="1"/>
  <c r="H36" i="1" s="1"/>
  <c r="G43" i="1"/>
  <c r="G44" i="1" s="1"/>
  <c r="H42" i="1"/>
  <c r="I33" i="1"/>
  <c r="I42" i="1" s="1"/>
  <c r="F41" i="1"/>
  <c r="F35" i="1"/>
  <c r="F36" i="1" s="1"/>
  <c r="J35" i="1"/>
  <c r="J36" i="1" s="1"/>
  <c r="J41" i="1"/>
  <c r="J43" i="1" s="1"/>
  <c r="J44" i="1" s="1"/>
  <c r="P34" i="1"/>
  <c r="L33" i="1"/>
  <c r="E33" i="1"/>
  <c r="H49" i="1" l="1"/>
  <c r="H43" i="1"/>
  <c r="H44" i="1" s="1"/>
  <c r="E35" i="1"/>
  <c r="E36" i="1" s="1"/>
  <c r="E41" i="1"/>
  <c r="K35" i="1"/>
  <c r="K36" i="1" s="1"/>
  <c r="K41" i="1"/>
  <c r="K42" i="1"/>
  <c r="F49" i="1"/>
  <c r="F43" i="1"/>
  <c r="F44" i="1" s="1"/>
  <c r="F50" i="1"/>
  <c r="E42" i="1"/>
  <c r="I35" i="1"/>
  <c r="I36" i="1" s="1"/>
  <c r="I41" i="1"/>
  <c r="I43" i="1" s="1"/>
  <c r="I44" i="1" s="1"/>
  <c r="L35" i="1"/>
  <c r="L36" i="1" s="1"/>
  <c r="L41" i="1"/>
  <c r="P33" i="1"/>
  <c r="L42" i="1"/>
  <c r="H50" i="1"/>
  <c r="D35" i="1"/>
  <c r="D36" i="1" s="1"/>
  <c r="D41" i="1"/>
  <c r="D42" i="1"/>
  <c r="D50" i="1" s="1"/>
  <c r="K43" i="1" l="1"/>
  <c r="K44" i="1" s="1"/>
  <c r="E50" i="1"/>
  <c r="H51" i="1"/>
  <c r="H52" i="1" s="1"/>
  <c r="F51" i="1"/>
  <c r="F52" i="1" s="1"/>
  <c r="E49" i="1"/>
  <c r="E43" i="1"/>
  <c r="E44" i="1" s="1"/>
  <c r="D49" i="1"/>
  <c r="D51" i="1" s="1"/>
  <c r="D52" i="1" s="1"/>
  <c r="D43" i="1"/>
  <c r="D44" i="1" s="1"/>
  <c r="I49" i="1"/>
  <c r="L43" i="1"/>
  <c r="I50" i="1"/>
  <c r="M50" i="1" s="1"/>
  <c r="M49" i="1" l="1"/>
  <c r="I51" i="1"/>
  <c r="E51" i="1"/>
  <c r="E52" i="1" s="1"/>
  <c r="J34" i="4"/>
</calcChain>
</file>

<file path=xl/sharedStrings.xml><?xml version="1.0" encoding="utf-8"?>
<sst xmlns="http://schemas.openxmlformats.org/spreadsheetml/2006/main" count="298" uniqueCount="59">
  <si>
    <t>x1</t>
  </si>
  <si>
    <t>x2</t>
  </si>
  <si>
    <t>Coeficientes</t>
  </si>
  <si>
    <t>Z</t>
  </si>
  <si>
    <t>Valores</t>
  </si>
  <si>
    <t>Sujeito a</t>
  </si>
  <si>
    <t>b</t>
  </si>
  <si>
    <t>FASE 1</t>
  </si>
  <si>
    <t>Quadro 0</t>
  </si>
  <si>
    <t>Base</t>
  </si>
  <si>
    <t>Coeficiente</t>
  </si>
  <si>
    <t>e1</t>
  </si>
  <si>
    <t>e2</t>
  </si>
  <si>
    <t>e3</t>
  </si>
  <si>
    <t>a1</t>
  </si>
  <si>
    <t>a2</t>
  </si>
  <si>
    <t>a3</t>
  </si>
  <si>
    <t>razão</t>
  </si>
  <si>
    <t>Quadro 1</t>
  </si>
  <si>
    <t>L1'=L1</t>
  </si>
  <si>
    <t>L2'=L2</t>
  </si>
  <si>
    <t>L3'=-L1'*3+L3</t>
  </si>
  <si>
    <t>C-Z</t>
  </si>
  <si>
    <t>Quadro 2</t>
  </si>
  <si>
    <t>L2'=-L3+L2</t>
  </si>
  <si>
    <t>L3'=L3/2</t>
  </si>
  <si>
    <t>Quadro 3</t>
  </si>
  <si>
    <t>L2'=2L2</t>
  </si>
  <si>
    <t>L3'=L3+L2</t>
  </si>
  <si>
    <t>FASE 2</t>
  </si>
  <si>
    <t>Z-C</t>
  </si>
  <si>
    <t>L2'=L2/2</t>
  </si>
  <si>
    <t>L3'=-L2'+L3</t>
  </si>
  <si>
    <t>Maximização</t>
  </si>
  <si>
    <t>Função objetivo</t>
  </si>
  <si>
    <t>Variáveis</t>
  </si>
  <si>
    <t>C1</t>
  </si>
  <si>
    <t>C2</t>
  </si>
  <si>
    <t>bi</t>
  </si>
  <si>
    <t>Restrições</t>
  </si>
  <si>
    <t>Problema Dual</t>
  </si>
  <si>
    <t>Minimização</t>
  </si>
  <si>
    <t>y1</t>
  </si>
  <si>
    <t>y2</t>
  </si>
  <si>
    <t>z</t>
  </si>
  <si>
    <t>W</t>
  </si>
  <si>
    <t>C-W</t>
  </si>
  <si>
    <t>L1'=-L2+L1</t>
  </si>
  <si>
    <t>x3</t>
  </si>
  <si>
    <t>C3</t>
  </si>
  <si>
    <t>Dual</t>
  </si>
  <si>
    <t>y3</t>
  </si>
  <si>
    <t>L1'=9*L2'-L1</t>
  </si>
  <si>
    <t>L2'=L2/5</t>
  </si>
  <si>
    <t>L3'=L3-3*L2'</t>
  </si>
  <si>
    <t>L1'=L1/5</t>
  </si>
  <si>
    <t>L3'=-2*L2'+L3</t>
  </si>
  <si>
    <t>L1'=L3'*0,2+L1</t>
  </si>
  <si>
    <t>L3'=L3/0,4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</si>
</sst>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2" borderId="0" xfId="0" applyFill="1"/>
    <xf numFmtId="0" fontId="1" fillId="0" borderId="0" xfId="0" applyFont="1"/>
    <xf numFmtId="0" fontId="0" fillId="0" borderId="1" xfId="0" applyBorder="1"/>
    <xf numFmtId="0" fontId="3" fillId="0" borderId="0" xfId="0" applyFont="1"/>
    <xf numFmtId="0" fontId="2" fillId="2" borderId="0" xfId="0" applyFont="1" applyFill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16B9B-3F75-4B00-ACE5-72D6D64A7CE3}">
  <dimension ref="A2:P63"/>
  <sheetViews>
    <sheetView workbookViewId="0">
      <pane ySplit="11" topLeftCell="A12" activePane="bottomLeft" state="frozen"/>
      <selection pane="bottomLeft" activeCell="H11" sqref="H11"/>
    </sheetView>
  </sheetViews>
  <sheetFormatPr defaultRowHeight="14.45"/>
  <cols>
    <col min="1" max="1" width="16.7109375" customWidth="1"/>
    <col min="3" max="3" width="10.28515625" bestFit="1" customWidth="1"/>
  </cols>
  <sheetData>
    <row r="2" spans="1:16">
      <c r="D2" s="2" t="s">
        <v>0</v>
      </c>
      <c r="E2" s="2" t="s">
        <v>1</v>
      </c>
    </row>
    <row r="3" spans="1:16">
      <c r="A3" t="s">
        <v>2</v>
      </c>
      <c r="D3">
        <v>3</v>
      </c>
      <c r="E3">
        <v>5</v>
      </c>
      <c r="G3" s="1" t="s">
        <v>3</v>
      </c>
      <c r="H3">
        <f>SUMPRODUCT(D5:E5,D3:E3)</f>
        <v>42</v>
      </c>
    </row>
    <row r="5" spans="1:16">
      <c r="A5" t="s">
        <v>4</v>
      </c>
      <c r="D5">
        <v>4</v>
      </c>
      <c r="E5">
        <v>6</v>
      </c>
    </row>
    <row r="7" spans="1:16">
      <c r="A7" t="s">
        <v>5</v>
      </c>
      <c r="G7" s="1" t="s">
        <v>6</v>
      </c>
    </row>
    <row r="8" spans="1:16">
      <c r="D8">
        <v>1</v>
      </c>
      <c r="E8">
        <v>0</v>
      </c>
      <c r="F8">
        <f>$D$5*D8+$E$5*E8</f>
        <v>4</v>
      </c>
      <c r="G8">
        <v>4</v>
      </c>
    </row>
    <row r="9" spans="1:16">
      <c r="D9">
        <v>0</v>
      </c>
      <c r="E9">
        <v>1</v>
      </c>
      <c r="F9">
        <f t="shared" ref="F9:F10" si="0">$D$5*D9+$E$5*E9</f>
        <v>6</v>
      </c>
      <c r="G9">
        <v>6</v>
      </c>
    </row>
    <row r="10" spans="1:16">
      <c r="D10">
        <v>3</v>
      </c>
      <c r="E10">
        <v>2</v>
      </c>
      <c r="F10">
        <f t="shared" si="0"/>
        <v>24</v>
      </c>
      <c r="G10">
        <v>18</v>
      </c>
    </row>
    <row r="11" spans="1:16">
      <c r="D11">
        <f>SUM(D8:D10)</f>
        <v>4</v>
      </c>
      <c r="E11">
        <f>SUM(E8:E10)</f>
        <v>3</v>
      </c>
      <c r="G11">
        <f>SUM(G8:G10)</f>
        <v>28</v>
      </c>
    </row>
    <row r="13" spans="1:16">
      <c r="A13" s="4" t="s">
        <v>7</v>
      </c>
    </row>
    <row r="14" spans="1:16">
      <c r="A14" t="s">
        <v>8</v>
      </c>
    </row>
    <row r="15" spans="1:16">
      <c r="B15" s="2" t="s">
        <v>9</v>
      </c>
      <c r="C15" s="2" t="s">
        <v>10</v>
      </c>
      <c r="D15" s="2" t="s">
        <v>0</v>
      </c>
      <c r="E15" s="2" t="s">
        <v>1</v>
      </c>
      <c r="F15" s="2" t="s">
        <v>11</v>
      </c>
      <c r="G15" s="2" t="s">
        <v>12</v>
      </c>
      <c r="H15" s="2" t="s">
        <v>13</v>
      </c>
      <c r="I15" s="2" t="s">
        <v>14</v>
      </c>
      <c r="J15" s="2" t="s">
        <v>15</v>
      </c>
      <c r="K15" s="2" t="s">
        <v>16</v>
      </c>
      <c r="L15" s="2" t="s">
        <v>6</v>
      </c>
      <c r="M15" s="2"/>
      <c r="P15" s="2" t="s">
        <v>17</v>
      </c>
    </row>
    <row r="16" spans="1:16">
      <c r="B16" t="s">
        <v>14</v>
      </c>
      <c r="C16">
        <v>0</v>
      </c>
      <c r="D16" s="3">
        <v>1</v>
      </c>
      <c r="E16">
        <v>0</v>
      </c>
      <c r="F16">
        <v>-1</v>
      </c>
      <c r="G16">
        <v>0</v>
      </c>
      <c r="H16">
        <v>0</v>
      </c>
      <c r="I16">
        <v>1</v>
      </c>
      <c r="J16">
        <v>0</v>
      </c>
      <c r="K16">
        <v>0</v>
      </c>
      <c r="L16">
        <v>4</v>
      </c>
      <c r="P16">
        <f>L16/D16</f>
        <v>4</v>
      </c>
    </row>
    <row r="17" spans="1:16">
      <c r="B17" t="s">
        <v>15</v>
      </c>
      <c r="C17">
        <v>0</v>
      </c>
      <c r="D17">
        <v>0</v>
      </c>
      <c r="E17">
        <v>1</v>
      </c>
      <c r="F17">
        <v>0</v>
      </c>
      <c r="G17">
        <v>-1</v>
      </c>
      <c r="H17">
        <v>0</v>
      </c>
      <c r="I17">
        <v>0</v>
      </c>
      <c r="J17">
        <v>1</v>
      </c>
      <c r="K17">
        <v>0</v>
      </c>
      <c r="L17">
        <v>6</v>
      </c>
      <c r="P17" t="e">
        <f>L17/D17</f>
        <v>#DIV/0!</v>
      </c>
    </row>
    <row r="18" spans="1:16">
      <c r="B18" t="s">
        <v>16</v>
      </c>
      <c r="C18">
        <v>0</v>
      </c>
      <c r="D18">
        <v>3</v>
      </c>
      <c r="E18">
        <v>2</v>
      </c>
      <c r="F18">
        <v>0</v>
      </c>
      <c r="G18">
        <v>0</v>
      </c>
      <c r="H18">
        <v>-1</v>
      </c>
      <c r="I18">
        <v>0</v>
      </c>
      <c r="J18">
        <v>0</v>
      </c>
      <c r="K18">
        <v>1</v>
      </c>
      <c r="L18">
        <v>18</v>
      </c>
      <c r="P18">
        <f>L18/D18</f>
        <v>6</v>
      </c>
    </row>
    <row r="19" spans="1:16"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6">
      <c r="D20" s="3">
        <v>4</v>
      </c>
      <c r="E20">
        <v>3</v>
      </c>
      <c r="F20">
        <v>-1</v>
      </c>
      <c r="G20">
        <v>-1</v>
      </c>
      <c r="H20">
        <v>-1</v>
      </c>
      <c r="I20">
        <v>0</v>
      </c>
      <c r="J20">
        <v>0</v>
      </c>
      <c r="K20">
        <v>0</v>
      </c>
      <c r="L20">
        <v>28</v>
      </c>
    </row>
    <row r="22" spans="1:16">
      <c r="A22" t="s">
        <v>18</v>
      </c>
    </row>
    <row r="23" spans="1:16">
      <c r="B23" t="s">
        <v>9</v>
      </c>
      <c r="C23" t="s">
        <v>10</v>
      </c>
      <c r="D23" s="2" t="s">
        <v>0</v>
      </c>
      <c r="E23" s="2" t="s">
        <v>1</v>
      </c>
      <c r="F23" s="2" t="s">
        <v>11</v>
      </c>
      <c r="G23" s="2" t="s">
        <v>12</v>
      </c>
      <c r="H23" s="2" t="s">
        <v>13</v>
      </c>
      <c r="I23" s="2" t="s">
        <v>14</v>
      </c>
      <c r="J23" s="2" t="s">
        <v>15</v>
      </c>
      <c r="K23" s="2" t="s">
        <v>16</v>
      </c>
      <c r="L23" s="2" t="s">
        <v>6</v>
      </c>
      <c r="M23" s="2"/>
    </row>
    <row r="24" spans="1:16">
      <c r="B24" t="s">
        <v>0</v>
      </c>
      <c r="C24">
        <v>4</v>
      </c>
      <c r="D24">
        <v>1</v>
      </c>
      <c r="E24">
        <v>0</v>
      </c>
      <c r="F24">
        <v>-1</v>
      </c>
      <c r="G24">
        <v>0</v>
      </c>
      <c r="H24">
        <v>0</v>
      </c>
      <c r="I24">
        <v>1</v>
      </c>
      <c r="J24">
        <v>0</v>
      </c>
      <c r="K24">
        <v>0</v>
      </c>
      <c r="L24">
        <v>4</v>
      </c>
      <c r="N24" t="s">
        <v>19</v>
      </c>
      <c r="P24" t="e">
        <f>L24/E24</f>
        <v>#DIV/0!</v>
      </c>
    </row>
    <row r="25" spans="1:16">
      <c r="B25" t="s">
        <v>15</v>
      </c>
      <c r="C25">
        <v>0</v>
      </c>
      <c r="D25">
        <v>0</v>
      </c>
      <c r="E25">
        <v>1</v>
      </c>
      <c r="F25">
        <v>0</v>
      </c>
      <c r="G25">
        <v>-1</v>
      </c>
      <c r="H25">
        <v>0</v>
      </c>
      <c r="I25">
        <v>0</v>
      </c>
      <c r="J25">
        <v>1</v>
      </c>
      <c r="K25">
        <v>0</v>
      </c>
      <c r="L25">
        <v>6</v>
      </c>
      <c r="N25" t="s">
        <v>20</v>
      </c>
      <c r="P25">
        <f t="shared" ref="P25:P26" si="1">L25/E25</f>
        <v>6</v>
      </c>
    </row>
    <row r="26" spans="1:16">
      <c r="B26" t="s">
        <v>16</v>
      </c>
      <c r="C26">
        <v>0</v>
      </c>
      <c r="D26">
        <f>-D24*3+D18</f>
        <v>0</v>
      </c>
      <c r="E26" s="3">
        <f t="shared" ref="E26:L26" si="2">-E24*3+E18</f>
        <v>2</v>
      </c>
      <c r="F26">
        <f t="shared" si="2"/>
        <v>3</v>
      </c>
      <c r="G26">
        <f t="shared" si="2"/>
        <v>0</v>
      </c>
      <c r="H26">
        <f t="shared" si="2"/>
        <v>-1</v>
      </c>
      <c r="I26">
        <f t="shared" si="2"/>
        <v>-3</v>
      </c>
      <c r="J26">
        <f t="shared" si="2"/>
        <v>0</v>
      </c>
      <c r="K26">
        <f t="shared" si="2"/>
        <v>1</v>
      </c>
      <c r="L26">
        <f t="shared" si="2"/>
        <v>6</v>
      </c>
      <c r="N26" t="s">
        <v>21</v>
      </c>
      <c r="P26">
        <f t="shared" si="1"/>
        <v>3</v>
      </c>
    </row>
    <row r="27" spans="1:16">
      <c r="C27" t="s">
        <v>3</v>
      </c>
      <c r="D27">
        <f>SUMPRODUCT($C$24:$C$26,D24:D26)</f>
        <v>4</v>
      </c>
      <c r="E27">
        <f t="shared" ref="E27:L27" si="3">SUMPRODUCT($C$24:$C$26,E24:E26)</f>
        <v>0</v>
      </c>
      <c r="F27">
        <f t="shared" si="3"/>
        <v>-4</v>
      </c>
      <c r="G27">
        <f t="shared" si="3"/>
        <v>0</v>
      </c>
      <c r="H27">
        <f t="shared" si="3"/>
        <v>0</v>
      </c>
      <c r="I27">
        <f t="shared" si="3"/>
        <v>4</v>
      </c>
      <c r="J27">
        <f t="shared" si="3"/>
        <v>0</v>
      </c>
      <c r="K27">
        <f t="shared" si="3"/>
        <v>0</v>
      </c>
      <c r="L27">
        <f t="shared" si="3"/>
        <v>16</v>
      </c>
    </row>
    <row r="28" spans="1:16">
      <c r="C28" t="s">
        <v>22</v>
      </c>
      <c r="D28">
        <f>D20-D27</f>
        <v>0</v>
      </c>
      <c r="E28" s="3">
        <f t="shared" ref="E28:L28" si="4">E20-E27</f>
        <v>3</v>
      </c>
      <c r="F28">
        <f t="shared" si="4"/>
        <v>3</v>
      </c>
      <c r="G28">
        <f t="shared" si="4"/>
        <v>-1</v>
      </c>
      <c r="H28">
        <f t="shared" si="4"/>
        <v>-1</v>
      </c>
      <c r="I28">
        <f t="shared" si="4"/>
        <v>-4</v>
      </c>
      <c r="J28">
        <f t="shared" si="4"/>
        <v>0</v>
      </c>
      <c r="K28">
        <f t="shared" si="4"/>
        <v>0</v>
      </c>
      <c r="L28">
        <f t="shared" si="4"/>
        <v>12</v>
      </c>
    </row>
    <row r="30" spans="1:16">
      <c r="A30" t="s">
        <v>23</v>
      </c>
    </row>
    <row r="31" spans="1:16">
      <c r="B31" t="s">
        <v>9</v>
      </c>
      <c r="C31" t="s">
        <v>10</v>
      </c>
      <c r="D31" s="2" t="s">
        <v>0</v>
      </c>
      <c r="E31" s="2" t="s">
        <v>1</v>
      </c>
      <c r="F31" s="2" t="s">
        <v>11</v>
      </c>
      <c r="G31" s="2" t="s">
        <v>12</v>
      </c>
      <c r="H31" s="2" t="s">
        <v>13</v>
      </c>
      <c r="I31" s="2" t="s">
        <v>14</v>
      </c>
      <c r="J31" s="2" t="s">
        <v>15</v>
      </c>
      <c r="K31" s="2" t="s">
        <v>16</v>
      </c>
      <c r="L31" s="2" t="s">
        <v>6</v>
      </c>
      <c r="M31" s="2"/>
      <c r="P31" t="s">
        <v>17</v>
      </c>
    </row>
    <row r="32" spans="1:16">
      <c r="B32" t="s">
        <v>0</v>
      </c>
      <c r="C32">
        <v>4</v>
      </c>
      <c r="D32">
        <v>1</v>
      </c>
      <c r="E32">
        <v>0</v>
      </c>
      <c r="F32">
        <v>-1</v>
      </c>
      <c r="G32">
        <v>0</v>
      </c>
      <c r="H32">
        <v>0</v>
      </c>
      <c r="I32">
        <v>1</v>
      </c>
      <c r="J32">
        <v>0</v>
      </c>
      <c r="K32">
        <v>0</v>
      </c>
      <c r="L32">
        <v>4</v>
      </c>
      <c r="N32" t="s">
        <v>19</v>
      </c>
      <c r="P32" t="e">
        <f>L32/H32</f>
        <v>#DIV/0!</v>
      </c>
    </row>
    <row r="33" spans="1:16">
      <c r="B33" t="s">
        <v>15</v>
      </c>
      <c r="C33">
        <v>0</v>
      </c>
      <c r="D33">
        <f>-D34+D25</f>
        <v>0</v>
      </c>
      <c r="E33">
        <f t="shared" ref="E33:L33" si="5">-E34+E25</f>
        <v>0</v>
      </c>
      <c r="F33">
        <f t="shared" si="5"/>
        <v>-1.5</v>
      </c>
      <c r="G33">
        <f t="shared" si="5"/>
        <v>-1</v>
      </c>
      <c r="H33" s="3">
        <f t="shared" si="5"/>
        <v>0.5</v>
      </c>
      <c r="I33">
        <f t="shared" si="5"/>
        <v>1.5</v>
      </c>
      <c r="J33">
        <f t="shared" si="5"/>
        <v>1</v>
      </c>
      <c r="K33">
        <f t="shared" si="5"/>
        <v>-0.5</v>
      </c>
      <c r="L33">
        <f t="shared" si="5"/>
        <v>3</v>
      </c>
      <c r="N33" t="s">
        <v>24</v>
      </c>
      <c r="P33">
        <f t="shared" ref="P33:P34" si="6">L33/H33</f>
        <v>6</v>
      </c>
    </row>
    <row r="34" spans="1:16">
      <c r="B34" t="s">
        <v>1</v>
      </c>
      <c r="C34">
        <v>3</v>
      </c>
      <c r="D34">
        <f>D26/2</f>
        <v>0</v>
      </c>
      <c r="E34">
        <f t="shared" ref="E34:L34" si="7">E26/2</f>
        <v>1</v>
      </c>
      <c r="F34">
        <f t="shared" si="7"/>
        <v>1.5</v>
      </c>
      <c r="G34">
        <f t="shared" si="7"/>
        <v>0</v>
      </c>
      <c r="H34">
        <f t="shared" si="7"/>
        <v>-0.5</v>
      </c>
      <c r="I34">
        <f t="shared" si="7"/>
        <v>-1.5</v>
      </c>
      <c r="J34">
        <f t="shared" si="7"/>
        <v>0</v>
      </c>
      <c r="K34">
        <f t="shared" si="7"/>
        <v>0.5</v>
      </c>
      <c r="L34">
        <f t="shared" si="7"/>
        <v>3</v>
      </c>
      <c r="N34" t="s">
        <v>25</v>
      </c>
      <c r="P34">
        <f t="shared" si="6"/>
        <v>-6</v>
      </c>
    </row>
    <row r="35" spans="1:16">
      <c r="C35" t="s">
        <v>3</v>
      </c>
      <c r="D35">
        <f>SUMPRODUCT($C$32:$C$34,D32:D34)</f>
        <v>4</v>
      </c>
      <c r="E35">
        <f t="shared" ref="E35:L35" si="8">SUMPRODUCT($C$32:$C$34,E32:E34)</f>
        <v>3</v>
      </c>
      <c r="F35">
        <f t="shared" si="8"/>
        <v>0.5</v>
      </c>
      <c r="G35">
        <f t="shared" si="8"/>
        <v>0</v>
      </c>
      <c r="H35">
        <f t="shared" si="8"/>
        <v>-1.5</v>
      </c>
      <c r="I35">
        <f t="shared" si="8"/>
        <v>-0.5</v>
      </c>
      <c r="J35">
        <f t="shared" si="8"/>
        <v>0</v>
      </c>
      <c r="K35">
        <f t="shared" si="8"/>
        <v>1.5</v>
      </c>
      <c r="L35">
        <f t="shared" si="8"/>
        <v>25</v>
      </c>
    </row>
    <row r="36" spans="1:16">
      <c r="C36" t="s">
        <v>22</v>
      </c>
      <c r="D36">
        <f>D20-D35</f>
        <v>0</v>
      </c>
      <c r="E36">
        <f t="shared" ref="E36:L36" si="9">E20-E35</f>
        <v>0</v>
      </c>
      <c r="F36">
        <f t="shared" si="9"/>
        <v>-1.5</v>
      </c>
      <c r="G36">
        <f t="shared" si="9"/>
        <v>-1</v>
      </c>
      <c r="H36" s="3">
        <f t="shared" si="9"/>
        <v>0.5</v>
      </c>
      <c r="I36">
        <f t="shared" si="9"/>
        <v>0.5</v>
      </c>
      <c r="J36">
        <f t="shared" si="9"/>
        <v>0</v>
      </c>
      <c r="K36">
        <f t="shared" si="9"/>
        <v>-1.5</v>
      </c>
      <c r="L36">
        <f t="shared" si="9"/>
        <v>3</v>
      </c>
    </row>
    <row r="38" spans="1:16">
      <c r="A38" t="s">
        <v>26</v>
      </c>
    </row>
    <row r="39" spans="1:16">
      <c r="B39" t="s">
        <v>9</v>
      </c>
      <c r="C39" t="s">
        <v>10</v>
      </c>
      <c r="D39" s="2" t="s">
        <v>0</v>
      </c>
      <c r="E39" s="2" t="s">
        <v>1</v>
      </c>
      <c r="F39" s="2" t="s">
        <v>11</v>
      </c>
      <c r="G39" s="2" t="s">
        <v>12</v>
      </c>
      <c r="H39" s="2" t="s">
        <v>13</v>
      </c>
      <c r="I39" s="2" t="s">
        <v>14</v>
      </c>
      <c r="J39" s="2" t="s">
        <v>15</v>
      </c>
      <c r="K39" s="2" t="s">
        <v>16</v>
      </c>
      <c r="L39" s="2" t="s">
        <v>6</v>
      </c>
      <c r="M39" s="2"/>
    </row>
    <row r="40" spans="1:16">
      <c r="B40" t="s">
        <v>0</v>
      </c>
      <c r="C40">
        <v>4</v>
      </c>
      <c r="D40">
        <f>D32</f>
        <v>1</v>
      </c>
      <c r="E40">
        <f t="shared" ref="E40:L40" si="10">E32</f>
        <v>0</v>
      </c>
      <c r="F40">
        <f t="shared" si="10"/>
        <v>-1</v>
      </c>
      <c r="G40">
        <f t="shared" si="10"/>
        <v>0</v>
      </c>
      <c r="H40">
        <f t="shared" si="10"/>
        <v>0</v>
      </c>
      <c r="I40">
        <f t="shared" si="10"/>
        <v>1</v>
      </c>
      <c r="J40">
        <f t="shared" si="10"/>
        <v>0</v>
      </c>
      <c r="K40">
        <f t="shared" si="10"/>
        <v>0</v>
      </c>
      <c r="L40">
        <f t="shared" si="10"/>
        <v>4</v>
      </c>
      <c r="N40" t="s">
        <v>19</v>
      </c>
    </row>
    <row r="41" spans="1:16">
      <c r="B41" t="s">
        <v>13</v>
      </c>
      <c r="C41">
        <v>-1</v>
      </c>
      <c r="D41">
        <f>2*D33</f>
        <v>0</v>
      </c>
      <c r="E41">
        <f t="shared" ref="E41:L41" si="11">2*E33</f>
        <v>0</v>
      </c>
      <c r="F41">
        <f t="shared" si="11"/>
        <v>-3</v>
      </c>
      <c r="G41">
        <f t="shared" si="11"/>
        <v>-2</v>
      </c>
      <c r="H41">
        <f t="shared" si="11"/>
        <v>1</v>
      </c>
      <c r="I41">
        <f t="shared" si="11"/>
        <v>3</v>
      </c>
      <c r="J41">
        <f t="shared" si="11"/>
        <v>2</v>
      </c>
      <c r="K41">
        <f t="shared" si="11"/>
        <v>-1</v>
      </c>
      <c r="L41">
        <f t="shared" si="11"/>
        <v>6</v>
      </c>
      <c r="N41" t="s">
        <v>27</v>
      </c>
    </row>
    <row r="42" spans="1:16">
      <c r="B42" t="s">
        <v>1</v>
      </c>
      <c r="C42">
        <v>3</v>
      </c>
      <c r="D42">
        <f>D34+D33</f>
        <v>0</v>
      </c>
      <c r="E42">
        <f t="shared" ref="E42:L42" si="12">E34+E33</f>
        <v>1</v>
      </c>
      <c r="F42">
        <f t="shared" si="12"/>
        <v>0</v>
      </c>
      <c r="G42">
        <f t="shared" si="12"/>
        <v>-1</v>
      </c>
      <c r="H42">
        <f t="shared" si="12"/>
        <v>0</v>
      </c>
      <c r="I42">
        <f t="shared" si="12"/>
        <v>0</v>
      </c>
      <c r="J42">
        <f t="shared" si="12"/>
        <v>1</v>
      </c>
      <c r="K42">
        <f t="shared" si="12"/>
        <v>0</v>
      </c>
      <c r="L42">
        <f t="shared" si="12"/>
        <v>6</v>
      </c>
      <c r="N42" t="s">
        <v>28</v>
      </c>
    </row>
    <row r="43" spans="1:16">
      <c r="C43" t="s">
        <v>3</v>
      </c>
      <c r="D43">
        <f>SUMPRODUCT($C$40:$C$42,D40:D42)</f>
        <v>4</v>
      </c>
      <c r="E43">
        <f t="shared" ref="E43:L43" si="13">SUMPRODUCT($C$40:$C$42,E40:E42)</f>
        <v>3</v>
      </c>
      <c r="F43">
        <f t="shared" si="13"/>
        <v>-1</v>
      </c>
      <c r="G43">
        <f t="shared" si="13"/>
        <v>-1</v>
      </c>
      <c r="H43">
        <f t="shared" si="13"/>
        <v>-1</v>
      </c>
      <c r="I43">
        <f t="shared" si="13"/>
        <v>1</v>
      </c>
      <c r="J43">
        <f t="shared" si="13"/>
        <v>1</v>
      </c>
      <c r="K43">
        <f t="shared" si="13"/>
        <v>1</v>
      </c>
      <c r="L43">
        <f t="shared" si="13"/>
        <v>28</v>
      </c>
    </row>
    <row r="44" spans="1:16">
      <c r="C44" t="s">
        <v>22</v>
      </c>
      <c r="D44">
        <f>D20-D43</f>
        <v>0</v>
      </c>
      <c r="E44">
        <f t="shared" ref="E44:K44" si="14">E20-E43</f>
        <v>0</v>
      </c>
      <c r="F44">
        <f t="shared" si="14"/>
        <v>0</v>
      </c>
      <c r="G44">
        <f t="shared" si="14"/>
        <v>0</v>
      </c>
      <c r="H44">
        <f t="shared" si="14"/>
        <v>0</v>
      </c>
      <c r="I44">
        <f t="shared" si="14"/>
        <v>-1</v>
      </c>
      <c r="J44">
        <f t="shared" si="14"/>
        <v>-1</v>
      </c>
      <c r="K44">
        <f t="shared" si="14"/>
        <v>-1</v>
      </c>
    </row>
    <row r="46" spans="1:16">
      <c r="A46" s="4" t="s">
        <v>29</v>
      </c>
    </row>
    <row r="47" spans="1:16">
      <c r="A47" t="s">
        <v>8</v>
      </c>
      <c r="B47" t="s">
        <v>9</v>
      </c>
      <c r="C47" t="s">
        <v>10</v>
      </c>
      <c r="D47" s="2" t="s">
        <v>0</v>
      </c>
      <c r="E47" s="2" t="s">
        <v>1</v>
      </c>
      <c r="F47" s="2" t="s">
        <v>11</v>
      </c>
      <c r="G47" s="2" t="s">
        <v>12</v>
      </c>
      <c r="H47" s="2" t="s">
        <v>13</v>
      </c>
      <c r="I47" s="2" t="s">
        <v>6</v>
      </c>
      <c r="M47" t="s">
        <v>17</v>
      </c>
    </row>
    <row r="48" spans="1:16">
      <c r="B48" t="s">
        <v>0</v>
      </c>
      <c r="C48">
        <v>3</v>
      </c>
      <c r="D48">
        <f>D40</f>
        <v>1</v>
      </c>
      <c r="E48">
        <f t="shared" ref="E48:H48" si="15">E40</f>
        <v>0</v>
      </c>
      <c r="F48">
        <f t="shared" si="15"/>
        <v>-1</v>
      </c>
      <c r="G48">
        <f t="shared" si="15"/>
        <v>0</v>
      </c>
      <c r="H48">
        <f t="shared" si="15"/>
        <v>0</v>
      </c>
      <c r="I48">
        <f>L40</f>
        <v>4</v>
      </c>
      <c r="M48" t="e">
        <f>I48/H48</f>
        <v>#DIV/0!</v>
      </c>
    </row>
    <row r="49" spans="1:13">
      <c r="B49" t="s">
        <v>13</v>
      </c>
      <c r="C49">
        <v>0</v>
      </c>
      <c r="D49">
        <f>2*D41</f>
        <v>0</v>
      </c>
      <c r="E49">
        <f t="shared" ref="E49:H49" si="16">2*E41</f>
        <v>0</v>
      </c>
      <c r="F49">
        <f t="shared" si="16"/>
        <v>-6</v>
      </c>
      <c r="G49">
        <f t="shared" si="16"/>
        <v>-4</v>
      </c>
      <c r="H49" s="3">
        <f t="shared" si="16"/>
        <v>2</v>
      </c>
      <c r="I49">
        <f>2*L41</f>
        <v>12</v>
      </c>
      <c r="M49">
        <f t="shared" ref="M49:M50" si="17">I49/H49</f>
        <v>6</v>
      </c>
    </row>
    <row r="50" spans="1:13">
      <c r="B50" t="s">
        <v>1</v>
      </c>
      <c r="C50">
        <v>5</v>
      </c>
      <c r="D50">
        <f>D42+D41</f>
        <v>0</v>
      </c>
      <c r="E50">
        <f t="shared" ref="E50:H50" si="18">E42+E41</f>
        <v>1</v>
      </c>
      <c r="F50">
        <f t="shared" si="18"/>
        <v>-3</v>
      </c>
      <c r="G50">
        <f t="shared" si="18"/>
        <v>-3</v>
      </c>
      <c r="H50">
        <f t="shared" si="18"/>
        <v>1</v>
      </c>
      <c r="I50">
        <f>L42+L41</f>
        <v>12</v>
      </c>
      <c r="M50">
        <f t="shared" si="17"/>
        <v>12</v>
      </c>
    </row>
    <row r="51" spans="1:13">
      <c r="C51" t="s">
        <v>3</v>
      </c>
      <c r="D51">
        <f>SUMPRODUCT($C$48:$C$50,D48:D50)</f>
        <v>3</v>
      </c>
      <c r="E51">
        <f t="shared" ref="E51:I51" si="19">SUMPRODUCT($C$48:$C$50,E48:E50)</f>
        <v>5</v>
      </c>
      <c r="F51">
        <f t="shared" si="19"/>
        <v>-18</v>
      </c>
      <c r="G51">
        <f t="shared" si="19"/>
        <v>-15</v>
      </c>
      <c r="H51">
        <f t="shared" si="19"/>
        <v>5</v>
      </c>
      <c r="I51">
        <f t="shared" si="19"/>
        <v>72</v>
      </c>
    </row>
    <row r="52" spans="1:13">
      <c r="C52" t="s">
        <v>30</v>
      </c>
      <c r="D52">
        <f>D51-3</f>
        <v>0</v>
      </c>
      <c r="E52">
        <f>E51-5</f>
        <v>0</v>
      </c>
      <c r="F52">
        <f>F51-0</f>
        <v>-18</v>
      </c>
      <c r="G52">
        <f>G51-0</f>
        <v>-15</v>
      </c>
      <c r="H52" s="3">
        <f>H51-0</f>
        <v>5</v>
      </c>
    </row>
    <row r="54" spans="1:13">
      <c r="A54" t="s">
        <v>8</v>
      </c>
      <c r="B54" t="s">
        <v>9</v>
      </c>
      <c r="C54" t="s">
        <v>10</v>
      </c>
      <c r="D54" s="2" t="s">
        <v>0</v>
      </c>
      <c r="E54" s="2" t="s">
        <v>1</v>
      </c>
      <c r="F54" s="2" t="s">
        <v>11</v>
      </c>
      <c r="G54" s="2" t="s">
        <v>12</v>
      </c>
      <c r="H54" s="2" t="s">
        <v>13</v>
      </c>
      <c r="I54" s="2" t="s">
        <v>6</v>
      </c>
    </row>
    <row r="55" spans="1:13">
      <c r="B55" t="s">
        <v>0</v>
      </c>
      <c r="C55">
        <v>3</v>
      </c>
      <c r="D55">
        <f>D48</f>
        <v>1</v>
      </c>
      <c r="E55">
        <f t="shared" ref="E55:I55" si="20">E48</f>
        <v>0</v>
      </c>
      <c r="F55">
        <f t="shared" si="20"/>
        <v>-1</v>
      </c>
      <c r="G55">
        <f t="shared" si="20"/>
        <v>0</v>
      </c>
      <c r="H55">
        <f t="shared" si="20"/>
        <v>0</v>
      </c>
      <c r="I55">
        <f t="shared" si="20"/>
        <v>4</v>
      </c>
      <c r="K55" t="s">
        <v>19</v>
      </c>
    </row>
    <row r="56" spans="1:13">
      <c r="B56" t="s">
        <v>13</v>
      </c>
      <c r="C56">
        <v>0</v>
      </c>
      <c r="D56">
        <f>D49/2</f>
        <v>0</v>
      </c>
      <c r="E56">
        <f t="shared" ref="E56:I56" si="21">E49/2</f>
        <v>0</v>
      </c>
      <c r="F56">
        <f t="shared" si="21"/>
        <v>-3</v>
      </c>
      <c r="G56">
        <f t="shared" si="21"/>
        <v>-2</v>
      </c>
      <c r="H56">
        <f t="shared" si="21"/>
        <v>1</v>
      </c>
      <c r="I56">
        <f t="shared" si="21"/>
        <v>6</v>
      </c>
      <c r="K56" t="s">
        <v>31</v>
      </c>
    </row>
    <row r="57" spans="1:13">
      <c r="B57" t="s">
        <v>1</v>
      </c>
      <c r="C57">
        <v>5</v>
      </c>
      <c r="D57">
        <f>-D56+D50</f>
        <v>0</v>
      </c>
      <c r="E57">
        <f t="shared" ref="E57:I57" si="22">-E56+E50</f>
        <v>1</v>
      </c>
      <c r="F57">
        <f t="shared" si="22"/>
        <v>0</v>
      </c>
      <c r="G57">
        <f t="shared" si="22"/>
        <v>-1</v>
      </c>
      <c r="H57">
        <f t="shared" si="22"/>
        <v>0</v>
      </c>
      <c r="I57">
        <f t="shared" si="22"/>
        <v>6</v>
      </c>
      <c r="K57" t="s">
        <v>32</v>
      </c>
    </row>
    <row r="58" spans="1:13">
      <c r="C58" t="s">
        <v>3</v>
      </c>
      <c r="D58">
        <f>SUMPRODUCT($C$55:$C$57,D55:D57)</f>
        <v>3</v>
      </c>
      <c r="E58">
        <f t="shared" ref="E58:I58" si="23">SUMPRODUCT($C$55:$C$57,E55:E57)</f>
        <v>5</v>
      </c>
      <c r="F58">
        <f t="shared" si="23"/>
        <v>-3</v>
      </c>
      <c r="G58">
        <f t="shared" si="23"/>
        <v>-5</v>
      </c>
      <c r="H58">
        <f t="shared" si="23"/>
        <v>0</v>
      </c>
      <c r="I58">
        <f t="shared" si="23"/>
        <v>42</v>
      </c>
    </row>
    <row r="59" spans="1:13">
      <c r="C59" t="s">
        <v>30</v>
      </c>
      <c r="D59">
        <f>D58-3</f>
        <v>0</v>
      </c>
      <c r="E59">
        <f>E58-5</f>
        <v>0</v>
      </c>
      <c r="F59">
        <f>F58-0</f>
        <v>-3</v>
      </c>
      <c r="G59">
        <f>G58-0</f>
        <v>-5</v>
      </c>
      <c r="H59">
        <f>H58-0</f>
        <v>0</v>
      </c>
    </row>
    <row r="61" spans="1:13">
      <c r="B61" s="5" t="s">
        <v>0</v>
      </c>
      <c r="C61" s="5">
        <v>4</v>
      </c>
    </row>
    <row r="62" spans="1:13">
      <c r="B62" s="5" t="s">
        <v>13</v>
      </c>
      <c r="C62" s="5">
        <v>6</v>
      </c>
    </row>
    <row r="63" spans="1:13">
      <c r="B63" s="5" t="s">
        <v>1</v>
      </c>
      <c r="C63" s="5">
        <v>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1AD74-B758-4703-94DE-411823621EA6}">
  <dimension ref="A1:M53"/>
  <sheetViews>
    <sheetView topLeftCell="A32" workbookViewId="0">
      <selection activeCell="H53" sqref="H53"/>
    </sheetView>
  </sheetViews>
  <sheetFormatPr defaultRowHeight="14.45"/>
  <cols>
    <col min="1" max="1" width="22.28515625" customWidth="1"/>
    <col min="3" max="3" width="10.28515625" bestFit="1" customWidth="1"/>
  </cols>
  <sheetData>
    <row r="1" spans="1:6">
      <c r="A1" s="4" t="s">
        <v>33</v>
      </c>
    </row>
    <row r="2" spans="1:6">
      <c r="A2" s="4" t="s">
        <v>34</v>
      </c>
    </row>
    <row r="3" spans="1:6">
      <c r="A3" s="4" t="s">
        <v>35</v>
      </c>
      <c r="B3" s="5">
        <v>30</v>
      </c>
      <c r="C3" s="5">
        <v>10</v>
      </c>
    </row>
    <row r="5" spans="1:6">
      <c r="B5" s="2" t="s">
        <v>36</v>
      </c>
      <c r="C5" s="2" t="s">
        <v>37</v>
      </c>
    </row>
    <row r="6" spans="1:6">
      <c r="A6" s="4" t="s">
        <v>2</v>
      </c>
      <c r="B6" s="5">
        <v>150</v>
      </c>
      <c r="C6" s="5">
        <v>50</v>
      </c>
      <c r="E6" s="6" t="s">
        <v>3</v>
      </c>
      <c r="F6" s="5">
        <f>SUMPRODUCT(B6:C6,B3:C3)</f>
        <v>5000</v>
      </c>
    </row>
    <row r="8" spans="1:6">
      <c r="B8" s="2" t="s">
        <v>0</v>
      </c>
      <c r="C8" s="2" t="s">
        <v>1</v>
      </c>
      <c r="D8" s="2"/>
      <c r="E8" s="2" t="s">
        <v>38</v>
      </c>
    </row>
    <row r="9" spans="1:6">
      <c r="A9" s="4" t="s">
        <v>39</v>
      </c>
      <c r="B9" s="5">
        <v>1</v>
      </c>
      <c r="C9" s="5">
        <v>0</v>
      </c>
      <c r="D9" s="5">
        <f>SUMPRODUCT(B9:C9,B3:C3)</f>
        <v>30</v>
      </c>
      <c r="E9" s="5">
        <v>30</v>
      </c>
    </row>
    <row r="10" spans="1:6">
      <c r="B10" s="5">
        <v>2</v>
      </c>
      <c r="C10" s="5">
        <v>2</v>
      </c>
      <c r="D10" s="5">
        <f>SUMPRODUCT(B10:C10,B3:C3)</f>
        <v>80</v>
      </c>
      <c r="E10" s="5">
        <v>80</v>
      </c>
    </row>
    <row r="13" spans="1:6">
      <c r="A13" s="4" t="s">
        <v>40</v>
      </c>
    </row>
    <row r="15" spans="1:6">
      <c r="A15" s="4" t="s">
        <v>41</v>
      </c>
    </row>
    <row r="16" spans="1:6">
      <c r="A16" s="4" t="s">
        <v>34</v>
      </c>
    </row>
    <row r="17" spans="1:13">
      <c r="A17" s="4" t="s">
        <v>35</v>
      </c>
      <c r="B17" s="5">
        <v>100</v>
      </c>
      <c r="C17" s="5">
        <v>25</v>
      </c>
    </row>
    <row r="18" spans="1:13">
      <c r="A18" s="4"/>
    </row>
    <row r="19" spans="1:13">
      <c r="B19" s="2" t="s">
        <v>42</v>
      </c>
      <c r="C19" s="2" t="s">
        <v>43</v>
      </c>
    </row>
    <row r="20" spans="1:13">
      <c r="A20" s="4" t="s">
        <v>2</v>
      </c>
      <c r="B20" s="5">
        <v>30</v>
      </c>
      <c r="C20" s="5">
        <v>80</v>
      </c>
      <c r="E20" s="6" t="s">
        <v>44</v>
      </c>
      <c r="F20">
        <f>SUMPRODUCT(B17:C17,B20:C20)</f>
        <v>5000</v>
      </c>
    </row>
    <row r="22" spans="1:13">
      <c r="B22" s="5">
        <v>1</v>
      </c>
      <c r="C22" s="5">
        <v>2</v>
      </c>
      <c r="D22" s="5">
        <f>SUMPRODUCT(B17:C17,B22:C22)</f>
        <v>150</v>
      </c>
      <c r="E22" s="5">
        <v>150</v>
      </c>
    </row>
    <row r="23" spans="1:13">
      <c r="B23" s="5">
        <v>0</v>
      </c>
      <c r="C23" s="5">
        <v>2</v>
      </c>
      <c r="D23" s="5">
        <f>SUMPRODUCT(B17:C17,B23:C23)</f>
        <v>50</v>
      </c>
      <c r="E23" s="5">
        <v>50</v>
      </c>
    </row>
    <row r="25" spans="1:13">
      <c r="A25" t="s">
        <v>7</v>
      </c>
    </row>
    <row r="26" spans="1:13">
      <c r="A26" t="s">
        <v>8</v>
      </c>
    </row>
    <row r="27" spans="1:13">
      <c r="B27" s="2" t="s">
        <v>9</v>
      </c>
      <c r="C27" s="2" t="s">
        <v>10</v>
      </c>
      <c r="D27" s="2" t="s">
        <v>42</v>
      </c>
      <c r="E27" s="2" t="s">
        <v>43</v>
      </c>
      <c r="F27" s="2" t="s">
        <v>11</v>
      </c>
      <c r="G27" s="2" t="s">
        <v>12</v>
      </c>
      <c r="H27" s="2" t="s">
        <v>14</v>
      </c>
      <c r="I27" s="2" t="s">
        <v>15</v>
      </c>
      <c r="J27" s="2" t="s">
        <v>6</v>
      </c>
      <c r="M27" s="2" t="s">
        <v>17</v>
      </c>
    </row>
    <row r="28" spans="1:13">
      <c r="B28" t="s">
        <v>14</v>
      </c>
      <c r="C28">
        <v>0</v>
      </c>
      <c r="D28">
        <v>1</v>
      </c>
      <c r="E28">
        <v>2</v>
      </c>
      <c r="F28">
        <v>-1</v>
      </c>
      <c r="G28">
        <v>0</v>
      </c>
      <c r="H28">
        <v>1</v>
      </c>
      <c r="I28">
        <v>0</v>
      </c>
      <c r="J28">
        <v>150</v>
      </c>
      <c r="M28">
        <f>J28/E28</f>
        <v>75</v>
      </c>
    </row>
    <row r="29" spans="1:13">
      <c r="B29" t="s">
        <v>15</v>
      </c>
      <c r="C29">
        <v>0</v>
      </c>
      <c r="D29">
        <v>0</v>
      </c>
      <c r="E29" s="3">
        <v>2</v>
      </c>
      <c r="F29">
        <v>0</v>
      </c>
      <c r="G29">
        <v>-1</v>
      </c>
      <c r="H29">
        <v>0</v>
      </c>
      <c r="I29">
        <v>1</v>
      </c>
      <c r="J29">
        <v>50</v>
      </c>
      <c r="M29" s="3">
        <f>J29/E29</f>
        <v>25</v>
      </c>
    </row>
    <row r="30" spans="1:13">
      <c r="C30" t="s">
        <v>45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3">
      <c r="C31" t="s">
        <v>46</v>
      </c>
      <c r="D31">
        <v>1</v>
      </c>
      <c r="E31" s="3">
        <v>4</v>
      </c>
      <c r="F31">
        <v>-1</v>
      </c>
      <c r="G31">
        <v>-1</v>
      </c>
      <c r="H31">
        <v>0</v>
      </c>
      <c r="I31">
        <v>0</v>
      </c>
      <c r="J31">
        <v>200</v>
      </c>
    </row>
    <row r="34" spans="1:12">
      <c r="A34" t="s">
        <v>18</v>
      </c>
    </row>
    <row r="35" spans="1:12">
      <c r="B35" t="s">
        <v>14</v>
      </c>
      <c r="C35">
        <v>0</v>
      </c>
      <c r="D35" s="3">
        <f>-D29+D28</f>
        <v>1</v>
      </c>
      <c r="E35">
        <f t="shared" ref="E35:J35" si="0">-E29+E28</f>
        <v>0</v>
      </c>
      <c r="F35">
        <f t="shared" si="0"/>
        <v>-1</v>
      </c>
      <c r="G35">
        <f t="shared" si="0"/>
        <v>1</v>
      </c>
      <c r="H35">
        <f t="shared" si="0"/>
        <v>1</v>
      </c>
      <c r="I35">
        <f t="shared" si="0"/>
        <v>-1</v>
      </c>
      <c r="J35">
        <f t="shared" si="0"/>
        <v>100</v>
      </c>
      <c r="L35" t="s">
        <v>47</v>
      </c>
    </row>
    <row r="36" spans="1:12">
      <c r="B36" t="s">
        <v>43</v>
      </c>
      <c r="C36">
        <v>4</v>
      </c>
      <c r="D36">
        <f>D29/2</f>
        <v>0</v>
      </c>
      <c r="E36">
        <f t="shared" ref="E36:J36" si="1">E29/2</f>
        <v>1</v>
      </c>
      <c r="F36">
        <f t="shared" si="1"/>
        <v>0</v>
      </c>
      <c r="G36">
        <f t="shared" si="1"/>
        <v>-0.5</v>
      </c>
      <c r="H36">
        <f t="shared" si="1"/>
        <v>0</v>
      </c>
      <c r="I36">
        <f t="shared" si="1"/>
        <v>0.5</v>
      </c>
      <c r="J36">
        <f t="shared" si="1"/>
        <v>25</v>
      </c>
      <c r="L36" t="s">
        <v>31</v>
      </c>
    </row>
    <row r="37" spans="1:12">
      <c r="C37" t="s">
        <v>45</v>
      </c>
      <c r="D37">
        <f>SUMPRODUCT($C$35:$C$36,D35:D36)</f>
        <v>0</v>
      </c>
      <c r="E37">
        <f t="shared" ref="E37:J37" si="2">SUMPRODUCT($C$35:$C$36,E35:E36)</f>
        <v>4</v>
      </c>
      <c r="F37">
        <f t="shared" si="2"/>
        <v>0</v>
      </c>
      <c r="G37">
        <f t="shared" si="2"/>
        <v>-2</v>
      </c>
      <c r="H37">
        <f t="shared" si="2"/>
        <v>0</v>
      </c>
      <c r="I37">
        <f t="shared" si="2"/>
        <v>2</v>
      </c>
      <c r="J37">
        <f t="shared" si="2"/>
        <v>100</v>
      </c>
    </row>
    <row r="38" spans="1:12">
      <c r="C38" t="s">
        <v>46</v>
      </c>
      <c r="D38" s="3">
        <f>1-D37</f>
        <v>1</v>
      </c>
      <c r="E38">
        <f>4-E37</f>
        <v>0</v>
      </c>
      <c r="F38">
        <f>-1-F37</f>
        <v>-1</v>
      </c>
      <c r="G38">
        <f>-1-G37</f>
        <v>1</v>
      </c>
      <c r="H38">
        <f>0-H37</f>
        <v>0</v>
      </c>
      <c r="I38">
        <f>0-I37</f>
        <v>-2</v>
      </c>
      <c r="J38">
        <f>200-J37</f>
        <v>100</v>
      </c>
    </row>
    <row r="40" spans="1:12">
      <c r="A40" t="s">
        <v>23</v>
      </c>
    </row>
    <row r="41" spans="1:12">
      <c r="B41" t="s">
        <v>42</v>
      </c>
      <c r="C41">
        <v>1</v>
      </c>
      <c r="D41">
        <f>D35</f>
        <v>1</v>
      </c>
      <c r="E41">
        <f t="shared" ref="E41:J41" si="3">E35</f>
        <v>0</v>
      </c>
      <c r="F41">
        <f t="shared" si="3"/>
        <v>-1</v>
      </c>
      <c r="G41">
        <f t="shared" si="3"/>
        <v>1</v>
      </c>
      <c r="H41">
        <f t="shared" si="3"/>
        <v>1</v>
      </c>
      <c r="I41">
        <f t="shared" si="3"/>
        <v>-1</v>
      </c>
      <c r="J41">
        <f t="shared" si="3"/>
        <v>100</v>
      </c>
      <c r="L41" t="s">
        <v>19</v>
      </c>
    </row>
    <row r="42" spans="1:12">
      <c r="B42" t="s">
        <v>43</v>
      </c>
      <c r="C42">
        <v>4</v>
      </c>
      <c r="D42">
        <f>D36</f>
        <v>0</v>
      </c>
      <c r="E42">
        <f t="shared" ref="E42:J42" si="4">E36</f>
        <v>1</v>
      </c>
      <c r="F42">
        <f t="shared" si="4"/>
        <v>0</v>
      </c>
      <c r="G42">
        <f t="shared" si="4"/>
        <v>-0.5</v>
      </c>
      <c r="H42">
        <f t="shared" si="4"/>
        <v>0</v>
      </c>
      <c r="I42">
        <f t="shared" si="4"/>
        <v>0.5</v>
      </c>
      <c r="J42">
        <f t="shared" si="4"/>
        <v>25</v>
      </c>
      <c r="L42" t="s">
        <v>20</v>
      </c>
    </row>
    <row r="43" spans="1:12">
      <c r="C43" t="s">
        <v>45</v>
      </c>
      <c r="D43">
        <f>SUMPRODUCT($C$41:$C$42,D41:D42)</f>
        <v>1</v>
      </c>
      <c r="E43">
        <f t="shared" ref="E43:J43" si="5">SUMPRODUCT($C$41:$C$42,E41:E42)</f>
        <v>4</v>
      </c>
      <c r="F43">
        <f t="shared" si="5"/>
        <v>-1</v>
      </c>
      <c r="G43">
        <f t="shared" si="5"/>
        <v>-1</v>
      </c>
      <c r="H43">
        <f t="shared" si="5"/>
        <v>1</v>
      </c>
      <c r="I43">
        <f t="shared" si="5"/>
        <v>1</v>
      </c>
      <c r="J43">
        <f t="shared" si="5"/>
        <v>200</v>
      </c>
    </row>
    <row r="44" spans="1:12">
      <c r="C44" t="s">
        <v>46</v>
      </c>
      <c r="D44">
        <f>1-D43</f>
        <v>0</v>
      </c>
      <c r="E44">
        <f>4-E43</f>
        <v>0</v>
      </c>
      <c r="F44">
        <f>-1-F43</f>
        <v>0</v>
      </c>
      <c r="G44">
        <f>-1-G43</f>
        <v>0</v>
      </c>
      <c r="H44">
        <f>0-H43</f>
        <v>-1</v>
      </c>
      <c r="I44">
        <f>0-I43</f>
        <v>-1</v>
      </c>
      <c r="J44">
        <f>200-J43</f>
        <v>0</v>
      </c>
    </row>
    <row r="46" spans="1:12">
      <c r="A46" t="s">
        <v>29</v>
      </c>
    </row>
    <row r="47" spans="1:12">
      <c r="B47" t="s">
        <v>42</v>
      </c>
      <c r="C47">
        <v>30</v>
      </c>
      <c r="D47">
        <f>D41</f>
        <v>1</v>
      </c>
      <c r="E47">
        <f t="shared" ref="E47:G47" si="6">E41</f>
        <v>0</v>
      </c>
      <c r="F47">
        <f t="shared" si="6"/>
        <v>-1</v>
      </c>
      <c r="G47">
        <f t="shared" si="6"/>
        <v>1</v>
      </c>
      <c r="H47">
        <f>J41</f>
        <v>100</v>
      </c>
    </row>
    <row r="48" spans="1:12">
      <c r="B48" t="s">
        <v>43</v>
      </c>
      <c r="C48">
        <v>80</v>
      </c>
      <c r="D48">
        <f>D42</f>
        <v>0</v>
      </c>
      <c r="E48">
        <f t="shared" ref="E48:G48" si="7">E42</f>
        <v>1</v>
      </c>
      <c r="F48">
        <f t="shared" si="7"/>
        <v>0</v>
      </c>
      <c r="G48">
        <f t="shared" si="7"/>
        <v>-0.5</v>
      </c>
      <c r="H48">
        <f>J42</f>
        <v>25</v>
      </c>
    </row>
    <row r="49" spans="2:8">
      <c r="C49" t="s">
        <v>3</v>
      </c>
      <c r="D49">
        <f>SUMPRODUCT($C$47:$C$48,D47:D48)</f>
        <v>30</v>
      </c>
      <c r="E49">
        <f t="shared" ref="E49:H49" si="8">SUMPRODUCT($C$47:$C$48,E47:E48)</f>
        <v>80</v>
      </c>
      <c r="F49">
        <f t="shared" si="8"/>
        <v>-30</v>
      </c>
      <c r="G49">
        <f t="shared" si="8"/>
        <v>-10</v>
      </c>
      <c r="H49">
        <f t="shared" si="8"/>
        <v>5000</v>
      </c>
    </row>
    <row r="50" spans="2:8">
      <c r="C50" t="s">
        <v>30</v>
      </c>
      <c r="D50">
        <f>D49-30</f>
        <v>0</v>
      </c>
      <c r="E50">
        <f>E49-80</f>
        <v>0</v>
      </c>
      <c r="F50">
        <f>F49-0</f>
        <v>-30</v>
      </c>
      <c r="G50">
        <f>G49-0</f>
        <v>-10</v>
      </c>
    </row>
    <row r="52" spans="2:8">
      <c r="B52" s="5" t="s">
        <v>42</v>
      </c>
      <c r="C52" s="5">
        <v>100</v>
      </c>
    </row>
    <row r="53" spans="2:8">
      <c r="B53" s="5" t="s">
        <v>43</v>
      </c>
      <c r="C53" s="5">
        <v>25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1A26-CD73-4F7F-BDC8-551C0E1A3994}">
  <dimension ref="A2:Q57"/>
  <sheetViews>
    <sheetView topLeftCell="A37" workbookViewId="0">
      <selection activeCell="M51" sqref="M51"/>
    </sheetView>
  </sheetViews>
  <sheetFormatPr defaultRowHeight="14.45"/>
  <cols>
    <col min="1" max="1" width="20.140625" customWidth="1"/>
    <col min="3" max="3" width="11.140625" bestFit="1" customWidth="1"/>
  </cols>
  <sheetData>
    <row r="2" spans="1:7">
      <c r="A2" s="4" t="s">
        <v>33</v>
      </c>
    </row>
    <row r="3" spans="1:7">
      <c r="B3" s="2" t="s">
        <v>0</v>
      </c>
      <c r="C3" s="2" t="s">
        <v>1</v>
      </c>
      <c r="D3" s="2" t="s">
        <v>48</v>
      </c>
      <c r="E3" s="2"/>
      <c r="F3" s="2" t="s">
        <v>38</v>
      </c>
      <c r="G3" s="2"/>
    </row>
    <row r="4" spans="1:7">
      <c r="A4" s="4" t="s">
        <v>39</v>
      </c>
      <c r="B4" s="5">
        <v>9</v>
      </c>
      <c r="C4" s="5">
        <v>5</v>
      </c>
      <c r="D4" s="5">
        <v>3</v>
      </c>
      <c r="E4" s="5">
        <f>SUMPRODUCT(B4:D4,B8:D8)</f>
        <v>500</v>
      </c>
      <c r="F4" s="5">
        <v>500</v>
      </c>
    </row>
    <row r="5" spans="1:7">
      <c r="B5" s="5">
        <v>3</v>
      </c>
      <c r="C5" s="5">
        <v>4</v>
      </c>
      <c r="D5" s="5">
        <v>0</v>
      </c>
      <c r="E5" s="5">
        <f>SUMPRODUCT(B5:D5,B8:D8)</f>
        <v>220</v>
      </c>
      <c r="F5" s="5">
        <v>350</v>
      </c>
    </row>
    <row r="6" spans="1:7">
      <c r="B6" s="5">
        <v>5</v>
      </c>
      <c r="C6" s="5">
        <v>0</v>
      </c>
      <c r="D6" s="5">
        <v>2</v>
      </c>
      <c r="E6" s="5">
        <f>SUMPRODUCT(B6:D6,B8:D8)</f>
        <v>150</v>
      </c>
      <c r="F6" s="5">
        <v>150</v>
      </c>
    </row>
    <row r="8" spans="1:7">
      <c r="A8" s="4" t="s">
        <v>34</v>
      </c>
      <c r="B8" s="5">
        <v>0</v>
      </c>
      <c r="C8" s="5">
        <v>55</v>
      </c>
      <c r="D8" s="5">
        <v>75</v>
      </c>
    </row>
    <row r="10" spans="1:7">
      <c r="B10" s="2" t="s">
        <v>36</v>
      </c>
      <c r="C10" s="2" t="s">
        <v>37</v>
      </c>
      <c r="D10" s="2" t="s">
        <v>49</v>
      </c>
    </row>
    <row r="11" spans="1:7">
      <c r="A11" s="4" t="s">
        <v>2</v>
      </c>
      <c r="B11" s="5">
        <v>50</v>
      </c>
      <c r="C11" s="5">
        <v>20</v>
      </c>
      <c r="D11" s="5">
        <v>25</v>
      </c>
      <c r="F11" s="6" t="s">
        <v>3</v>
      </c>
      <c r="G11" s="5">
        <f>SUMPRODUCT(B8:D8,B11:D11)</f>
        <v>2975</v>
      </c>
    </row>
    <row r="14" spans="1:7">
      <c r="A14" s="4" t="s">
        <v>50</v>
      </c>
    </row>
    <row r="15" spans="1:7">
      <c r="A15" s="4" t="s">
        <v>41</v>
      </c>
    </row>
    <row r="16" spans="1:7">
      <c r="B16" s="2" t="s">
        <v>42</v>
      </c>
      <c r="C16" s="2" t="s">
        <v>43</v>
      </c>
      <c r="D16" s="2" t="s">
        <v>51</v>
      </c>
    </row>
    <row r="17" spans="1:15">
      <c r="A17" s="4" t="s">
        <v>39</v>
      </c>
      <c r="B17" s="5">
        <v>9</v>
      </c>
      <c r="C17" s="5">
        <v>3</v>
      </c>
      <c r="D17" s="5">
        <v>5</v>
      </c>
      <c r="E17" s="5">
        <f>SUMPRODUCT(B17:D17,B21:D21)</f>
        <v>68.5</v>
      </c>
      <c r="F17" s="5">
        <v>50</v>
      </c>
    </row>
    <row r="18" spans="1:15">
      <c r="B18" s="5">
        <v>5</v>
      </c>
      <c r="C18" s="5">
        <v>4</v>
      </c>
      <c r="D18" s="5">
        <v>0</v>
      </c>
      <c r="E18" s="5">
        <f>SUMPRODUCT(B18:D18,B21:D21)</f>
        <v>19.999999999999996</v>
      </c>
      <c r="F18" s="5">
        <v>20</v>
      </c>
    </row>
    <row r="19" spans="1:15">
      <c r="B19" s="5">
        <v>3</v>
      </c>
      <c r="C19" s="5">
        <v>0</v>
      </c>
      <c r="D19" s="5">
        <v>2</v>
      </c>
      <c r="E19" s="5">
        <f>SUMPRODUCT(B19:D19,B21:D21)</f>
        <v>24.999999999999996</v>
      </c>
      <c r="F19" s="5">
        <v>25</v>
      </c>
    </row>
    <row r="21" spans="1:15">
      <c r="A21" s="4" t="s">
        <v>34</v>
      </c>
      <c r="B21" s="5">
        <v>3.9999999999999991</v>
      </c>
      <c r="C21" s="5">
        <v>0</v>
      </c>
      <c r="D21" s="5">
        <v>6.5</v>
      </c>
    </row>
    <row r="23" spans="1:15">
      <c r="A23" s="4" t="s">
        <v>2</v>
      </c>
      <c r="B23" s="5">
        <v>500</v>
      </c>
      <c r="C23" s="5">
        <v>350</v>
      </c>
      <c r="D23" s="5">
        <v>150</v>
      </c>
      <c r="F23" t="s">
        <v>44</v>
      </c>
      <c r="G23" s="5">
        <f>SUMPRODUCT(B21:D21,B23:D23)</f>
        <v>2974.9999999999995</v>
      </c>
    </row>
    <row r="26" spans="1:15">
      <c r="A26" t="s">
        <v>7</v>
      </c>
    </row>
    <row r="27" spans="1:15">
      <c r="B27" s="2" t="s">
        <v>9</v>
      </c>
      <c r="C27" s="2" t="s">
        <v>2</v>
      </c>
      <c r="D27" s="7" t="s">
        <v>42</v>
      </c>
      <c r="E27" s="2" t="s">
        <v>43</v>
      </c>
      <c r="F27" s="2" t="s">
        <v>51</v>
      </c>
      <c r="G27" s="2" t="s">
        <v>11</v>
      </c>
      <c r="H27" s="2" t="s">
        <v>12</v>
      </c>
      <c r="I27" s="2" t="s">
        <v>13</v>
      </c>
      <c r="J27" s="2" t="s">
        <v>14</v>
      </c>
      <c r="K27" s="2" t="s">
        <v>15</v>
      </c>
      <c r="L27" s="2" t="s">
        <v>16</v>
      </c>
      <c r="M27" s="2" t="s">
        <v>6</v>
      </c>
      <c r="O27" s="2" t="s">
        <v>17</v>
      </c>
    </row>
    <row r="28" spans="1:15">
      <c r="B28" t="s">
        <v>14</v>
      </c>
      <c r="C28">
        <v>0</v>
      </c>
      <c r="D28">
        <v>9</v>
      </c>
      <c r="E28">
        <v>3</v>
      </c>
      <c r="F28">
        <v>5</v>
      </c>
      <c r="G28">
        <v>-1</v>
      </c>
      <c r="H28">
        <v>0</v>
      </c>
      <c r="I28">
        <v>0</v>
      </c>
      <c r="J28">
        <v>1</v>
      </c>
      <c r="K28">
        <v>0</v>
      </c>
      <c r="L28">
        <v>0</v>
      </c>
      <c r="M28">
        <v>50</v>
      </c>
      <c r="O28">
        <f>M28/D28</f>
        <v>5.5555555555555554</v>
      </c>
    </row>
    <row r="29" spans="1:15">
      <c r="B29" t="s">
        <v>15</v>
      </c>
      <c r="C29">
        <v>0</v>
      </c>
      <c r="D29" s="3">
        <v>5</v>
      </c>
      <c r="E29">
        <v>4</v>
      </c>
      <c r="F29">
        <v>0</v>
      </c>
      <c r="G29">
        <v>0</v>
      </c>
      <c r="H29">
        <v>-1</v>
      </c>
      <c r="I29">
        <v>0</v>
      </c>
      <c r="J29">
        <v>0</v>
      </c>
      <c r="K29">
        <v>1</v>
      </c>
      <c r="L29">
        <v>0</v>
      </c>
      <c r="M29">
        <v>20</v>
      </c>
      <c r="O29" s="3">
        <f t="shared" ref="O29:O30" si="0">M29/D29</f>
        <v>4</v>
      </c>
    </row>
    <row r="30" spans="1:15">
      <c r="B30" t="s">
        <v>16</v>
      </c>
      <c r="C30">
        <v>0</v>
      </c>
      <c r="D30">
        <v>3</v>
      </c>
      <c r="E30">
        <v>0</v>
      </c>
      <c r="F30">
        <v>2</v>
      </c>
      <c r="G30">
        <v>0</v>
      </c>
      <c r="H30">
        <v>0</v>
      </c>
      <c r="I30">
        <v>-1</v>
      </c>
      <c r="J30">
        <v>0</v>
      </c>
      <c r="K30">
        <v>0</v>
      </c>
      <c r="L30">
        <v>1</v>
      </c>
      <c r="M30">
        <v>25</v>
      </c>
      <c r="O30">
        <f t="shared" si="0"/>
        <v>8.3333333333333339</v>
      </c>
    </row>
    <row r="31" spans="1:15">
      <c r="C31" t="s">
        <v>45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5">
      <c r="C32" t="s">
        <v>46</v>
      </c>
      <c r="D32" s="3">
        <v>17</v>
      </c>
      <c r="E32">
        <v>7</v>
      </c>
      <c r="F32">
        <v>7</v>
      </c>
      <c r="G32">
        <v>-1</v>
      </c>
      <c r="H32">
        <v>-1</v>
      </c>
      <c r="I32">
        <f>-1</f>
        <v>-1</v>
      </c>
      <c r="J32">
        <v>0</v>
      </c>
      <c r="K32">
        <v>0</v>
      </c>
      <c r="L32">
        <v>0</v>
      </c>
      <c r="M32">
        <v>95</v>
      </c>
    </row>
    <row r="33" spans="2:17">
      <c r="Q33" t="s">
        <v>17</v>
      </c>
    </row>
    <row r="34" spans="2:17">
      <c r="B34" t="s">
        <v>14</v>
      </c>
      <c r="C34">
        <v>0</v>
      </c>
      <c r="D34">
        <f>-9*D35+D28</f>
        <v>0</v>
      </c>
      <c r="E34">
        <f t="shared" ref="E34:M34" si="1">-9*E35+E28</f>
        <v>-4.2</v>
      </c>
      <c r="F34" s="3">
        <f t="shared" si="1"/>
        <v>5</v>
      </c>
      <c r="G34">
        <f t="shared" si="1"/>
        <v>-1</v>
      </c>
      <c r="H34">
        <f t="shared" si="1"/>
        <v>1.8</v>
      </c>
      <c r="I34">
        <f t="shared" si="1"/>
        <v>0</v>
      </c>
      <c r="J34">
        <f t="shared" si="1"/>
        <v>1</v>
      </c>
      <c r="K34">
        <f t="shared" si="1"/>
        <v>-1.8</v>
      </c>
      <c r="L34">
        <f t="shared" si="1"/>
        <v>0</v>
      </c>
      <c r="M34">
        <f t="shared" si="1"/>
        <v>14</v>
      </c>
      <c r="O34" t="s">
        <v>52</v>
      </c>
      <c r="Q34" s="3">
        <f>M34/F34</f>
        <v>2.8</v>
      </c>
    </row>
    <row r="35" spans="2:17">
      <c r="B35" t="s">
        <v>42</v>
      </c>
      <c r="C35">
        <v>17</v>
      </c>
      <c r="D35">
        <f>D29/5</f>
        <v>1</v>
      </c>
      <c r="E35">
        <f t="shared" ref="E35:M35" si="2">E29/5</f>
        <v>0.8</v>
      </c>
      <c r="F35">
        <f t="shared" si="2"/>
        <v>0</v>
      </c>
      <c r="G35">
        <f t="shared" si="2"/>
        <v>0</v>
      </c>
      <c r="H35">
        <f t="shared" si="2"/>
        <v>-0.2</v>
      </c>
      <c r="I35">
        <f t="shared" si="2"/>
        <v>0</v>
      </c>
      <c r="J35">
        <f t="shared" si="2"/>
        <v>0</v>
      </c>
      <c r="K35">
        <f t="shared" si="2"/>
        <v>0.2</v>
      </c>
      <c r="L35">
        <f t="shared" si="2"/>
        <v>0</v>
      </c>
      <c r="M35">
        <f t="shared" si="2"/>
        <v>4</v>
      </c>
      <c r="O35" t="s">
        <v>53</v>
      </c>
      <c r="Q35" t="e">
        <f t="shared" ref="Q35:Q36" si="3">M35/F35</f>
        <v>#DIV/0!</v>
      </c>
    </row>
    <row r="36" spans="2:17">
      <c r="B36" t="s">
        <v>16</v>
      </c>
      <c r="C36">
        <v>0</v>
      </c>
      <c r="D36">
        <f>D30-3*D35</f>
        <v>0</v>
      </c>
      <c r="E36">
        <f t="shared" ref="E36:M36" si="4">E30-3*E35</f>
        <v>-2.4000000000000004</v>
      </c>
      <c r="F36">
        <f t="shared" si="4"/>
        <v>2</v>
      </c>
      <c r="G36">
        <f t="shared" si="4"/>
        <v>0</v>
      </c>
      <c r="H36">
        <f t="shared" si="4"/>
        <v>0.60000000000000009</v>
      </c>
      <c r="I36">
        <f t="shared" si="4"/>
        <v>-1</v>
      </c>
      <c r="J36">
        <f t="shared" si="4"/>
        <v>0</v>
      </c>
      <c r="K36">
        <f t="shared" si="4"/>
        <v>-0.60000000000000009</v>
      </c>
      <c r="L36">
        <f t="shared" si="4"/>
        <v>1</v>
      </c>
      <c r="M36">
        <f t="shared" si="4"/>
        <v>13</v>
      </c>
      <c r="O36" t="s">
        <v>54</v>
      </c>
      <c r="Q36">
        <f t="shared" si="3"/>
        <v>6.5</v>
      </c>
    </row>
    <row r="37" spans="2:17">
      <c r="C37" t="s">
        <v>45</v>
      </c>
      <c r="D37">
        <f>SUMPRODUCT($C$34:$C$36,D34:D36)</f>
        <v>17</v>
      </c>
      <c r="E37">
        <f t="shared" ref="E37:M37" si="5">SUMPRODUCT($C$34:$C$36,E34:E36)</f>
        <v>13.600000000000001</v>
      </c>
      <c r="F37">
        <f t="shared" si="5"/>
        <v>0</v>
      </c>
      <c r="G37">
        <f t="shared" si="5"/>
        <v>0</v>
      </c>
      <c r="H37">
        <f t="shared" si="5"/>
        <v>-3.4000000000000004</v>
      </c>
      <c r="I37">
        <f t="shared" si="5"/>
        <v>0</v>
      </c>
      <c r="J37">
        <f t="shared" si="5"/>
        <v>0</v>
      </c>
      <c r="K37">
        <f t="shared" si="5"/>
        <v>3.4000000000000004</v>
      </c>
      <c r="L37">
        <f t="shared" si="5"/>
        <v>0</v>
      </c>
      <c r="M37">
        <f t="shared" si="5"/>
        <v>68</v>
      </c>
    </row>
    <row r="38" spans="2:17">
      <c r="C38" t="s">
        <v>46</v>
      </c>
      <c r="D38">
        <f>17-D37</f>
        <v>0</v>
      </c>
      <c r="E38">
        <f>7-E37</f>
        <v>-6.6000000000000014</v>
      </c>
      <c r="F38" s="3">
        <f>7-F37</f>
        <v>7</v>
      </c>
      <c r="G38">
        <f>-1-G37</f>
        <v>-1</v>
      </c>
      <c r="H38">
        <f>-1-H37</f>
        <v>2.4000000000000004</v>
      </c>
      <c r="I38">
        <f>-1-I37</f>
        <v>-1</v>
      </c>
      <c r="J38">
        <f>0-J37</f>
        <v>0</v>
      </c>
      <c r="K38">
        <f>0-K37</f>
        <v>-3.4000000000000004</v>
      </c>
      <c r="L38">
        <f>0-L37</f>
        <v>0</v>
      </c>
      <c r="M38">
        <f>95-M37</f>
        <v>27</v>
      </c>
    </row>
    <row r="40" spans="2:17">
      <c r="B40" t="s">
        <v>51</v>
      </c>
      <c r="C40">
        <v>7</v>
      </c>
      <c r="D40">
        <f>D34/5</f>
        <v>0</v>
      </c>
      <c r="E40">
        <f t="shared" ref="E40:M40" si="6">E34/5</f>
        <v>-0.84000000000000008</v>
      </c>
      <c r="F40">
        <f t="shared" si="6"/>
        <v>1</v>
      </c>
      <c r="G40">
        <f t="shared" si="6"/>
        <v>-0.2</v>
      </c>
      <c r="H40">
        <f t="shared" si="6"/>
        <v>0.36</v>
      </c>
      <c r="I40">
        <f t="shared" si="6"/>
        <v>0</v>
      </c>
      <c r="J40">
        <f t="shared" si="6"/>
        <v>0.2</v>
      </c>
      <c r="K40">
        <f t="shared" si="6"/>
        <v>-0.36</v>
      </c>
      <c r="L40">
        <f t="shared" si="6"/>
        <v>0</v>
      </c>
      <c r="M40">
        <f t="shared" si="6"/>
        <v>2.8</v>
      </c>
      <c r="O40" t="s">
        <v>55</v>
      </c>
    </row>
    <row r="41" spans="2:17">
      <c r="B41" t="s">
        <v>42</v>
      </c>
      <c r="C41">
        <v>17</v>
      </c>
      <c r="D41">
        <f>D35</f>
        <v>1</v>
      </c>
      <c r="E41">
        <f t="shared" ref="E41:M41" si="7">E35</f>
        <v>0.8</v>
      </c>
      <c r="F41">
        <f t="shared" si="7"/>
        <v>0</v>
      </c>
      <c r="G41">
        <f t="shared" si="7"/>
        <v>0</v>
      </c>
      <c r="H41">
        <f t="shared" si="7"/>
        <v>-0.2</v>
      </c>
      <c r="I41">
        <f t="shared" si="7"/>
        <v>0</v>
      </c>
      <c r="J41">
        <f t="shared" si="7"/>
        <v>0</v>
      </c>
      <c r="K41">
        <f t="shared" si="7"/>
        <v>0.2</v>
      </c>
      <c r="L41">
        <f t="shared" si="7"/>
        <v>0</v>
      </c>
      <c r="M41">
        <f t="shared" si="7"/>
        <v>4</v>
      </c>
      <c r="O41" t="s">
        <v>20</v>
      </c>
    </row>
    <row r="42" spans="2:17">
      <c r="B42" t="s">
        <v>16</v>
      </c>
      <c r="C42">
        <v>0</v>
      </c>
      <c r="D42">
        <f>-2*D40+D36</f>
        <v>0</v>
      </c>
      <c r="E42">
        <f t="shared" ref="E42:M42" si="8">-2*E40+E36</f>
        <v>-0.7200000000000002</v>
      </c>
      <c r="F42">
        <f t="shared" si="8"/>
        <v>0</v>
      </c>
      <c r="G42" s="3">
        <f t="shared" si="8"/>
        <v>0.4</v>
      </c>
      <c r="H42">
        <f t="shared" si="8"/>
        <v>-0.11999999999999988</v>
      </c>
      <c r="I42">
        <f t="shared" si="8"/>
        <v>-1</v>
      </c>
      <c r="J42">
        <f t="shared" si="8"/>
        <v>-0.4</v>
      </c>
      <c r="K42">
        <f t="shared" si="8"/>
        <v>0.11999999999999988</v>
      </c>
      <c r="L42">
        <f t="shared" si="8"/>
        <v>1</v>
      </c>
      <c r="M42">
        <f t="shared" si="8"/>
        <v>7.4</v>
      </c>
      <c r="O42" t="s">
        <v>56</v>
      </c>
    </row>
    <row r="43" spans="2:17">
      <c r="C43" t="s">
        <v>45</v>
      </c>
      <c r="D43">
        <f>SUMPRODUCT($C$40:$C$42,D40:D42)</f>
        <v>17</v>
      </c>
      <c r="E43">
        <f t="shared" ref="E43:M43" si="9">SUMPRODUCT($C$40:$C$42,E40:E42)</f>
        <v>7.7200000000000006</v>
      </c>
      <c r="F43">
        <f t="shared" si="9"/>
        <v>7</v>
      </c>
      <c r="G43">
        <f t="shared" si="9"/>
        <v>-1.4000000000000001</v>
      </c>
      <c r="H43">
        <f t="shared" si="9"/>
        <v>-0.88000000000000034</v>
      </c>
      <c r="I43">
        <f t="shared" si="9"/>
        <v>0</v>
      </c>
      <c r="J43">
        <f t="shared" si="9"/>
        <v>1.4000000000000001</v>
      </c>
      <c r="K43">
        <f t="shared" si="9"/>
        <v>0.88000000000000034</v>
      </c>
      <c r="L43">
        <f t="shared" si="9"/>
        <v>0</v>
      </c>
      <c r="M43">
        <f t="shared" si="9"/>
        <v>87.6</v>
      </c>
    </row>
    <row r="44" spans="2:17">
      <c r="C44" t="s">
        <v>46</v>
      </c>
      <c r="D44">
        <f>17-D43</f>
        <v>0</v>
      </c>
      <c r="E44">
        <f>7-E43</f>
        <v>-0.72000000000000064</v>
      </c>
      <c r="F44">
        <f>7-F43</f>
        <v>0</v>
      </c>
      <c r="G44" s="3">
        <f>-1-G43</f>
        <v>0.40000000000000013</v>
      </c>
      <c r="H44">
        <f>-1-H43</f>
        <v>-0.11999999999999966</v>
      </c>
      <c r="I44">
        <f>-1-I43</f>
        <v>-1</v>
      </c>
      <c r="J44">
        <f>0-J43</f>
        <v>-1.4000000000000001</v>
      </c>
      <c r="K44">
        <f>0-K43</f>
        <v>-0.88000000000000034</v>
      </c>
      <c r="L44">
        <f>0-L43</f>
        <v>0</v>
      </c>
      <c r="M44">
        <f>95-M43</f>
        <v>7.4000000000000057</v>
      </c>
    </row>
    <row r="46" spans="2:17">
      <c r="B46" t="s">
        <v>51</v>
      </c>
      <c r="C46">
        <v>7</v>
      </c>
      <c r="D46">
        <f>D48*0.2+D40</f>
        <v>0</v>
      </c>
      <c r="E46">
        <f t="shared" ref="E46:M46" si="10">E48*0.2+E40</f>
        <v>-1.2000000000000002</v>
      </c>
      <c r="F46">
        <f t="shared" si="10"/>
        <v>1</v>
      </c>
      <c r="G46">
        <f t="shared" si="10"/>
        <v>0</v>
      </c>
      <c r="H46">
        <f t="shared" si="10"/>
        <v>0.30000000000000004</v>
      </c>
      <c r="I46">
        <f t="shared" si="10"/>
        <v>-0.5</v>
      </c>
      <c r="J46">
        <f t="shared" si="10"/>
        <v>0</v>
      </c>
      <c r="K46">
        <f t="shared" si="10"/>
        <v>-0.30000000000000004</v>
      </c>
      <c r="L46">
        <f t="shared" si="10"/>
        <v>0.5</v>
      </c>
      <c r="M46">
        <f t="shared" si="10"/>
        <v>6.5</v>
      </c>
      <c r="O46" t="s">
        <v>57</v>
      </c>
    </row>
    <row r="47" spans="2:17">
      <c r="B47" t="s">
        <v>42</v>
      </c>
      <c r="C47">
        <v>17</v>
      </c>
      <c r="D47">
        <f>D41</f>
        <v>1</v>
      </c>
      <c r="E47">
        <f t="shared" ref="E47:M47" si="11">E41</f>
        <v>0.8</v>
      </c>
      <c r="F47">
        <f t="shared" si="11"/>
        <v>0</v>
      </c>
      <c r="G47">
        <f t="shared" si="11"/>
        <v>0</v>
      </c>
      <c r="H47">
        <f t="shared" si="11"/>
        <v>-0.2</v>
      </c>
      <c r="I47">
        <f t="shared" si="11"/>
        <v>0</v>
      </c>
      <c r="J47">
        <f t="shared" si="11"/>
        <v>0</v>
      </c>
      <c r="K47">
        <f t="shared" si="11"/>
        <v>0.2</v>
      </c>
      <c r="L47">
        <f t="shared" si="11"/>
        <v>0</v>
      </c>
      <c r="M47">
        <f t="shared" si="11"/>
        <v>4</v>
      </c>
      <c r="O47" t="s">
        <v>20</v>
      </c>
    </row>
    <row r="48" spans="2:17">
      <c r="B48" t="s">
        <v>11</v>
      </c>
      <c r="C48">
        <v>-1</v>
      </c>
      <c r="D48">
        <f>D42/0.4</f>
        <v>0</v>
      </c>
      <c r="E48">
        <f t="shared" ref="E48:M48" si="12">E42/0.4</f>
        <v>-1.8000000000000005</v>
      </c>
      <c r="F48">
        <f t="shared" si="12"/>
        <v>0</v>
      </c>
      <c r="G48">
        <f t="shared" si="12"/>
        <v>1</v>
      </c>
      <c r="H48">
        <f t="shared" si="12"/>
        <v>-0.29999999999999971</v>
      </c>
      <c r="I48">
        <f t="shared" si="12"/>
        <v>-2.5</v>
      </c>
      <c r="J48">
        <f t="shared" si="12"/>
        <v>-1</v>
      </c>
      <c r="K48">
        <f t="shared" si="12"/>
        <v>0.29999999999999971</v>
      </c>
      <c r="L48">
        <f t="shared" si="12"/>
        <v>2.5</v>
      </c>
      <c r="M48">
        <f t="shared" si="12"/>
        <v>18.5</v>
      </c>
      <c r="O48" t="s">
        <v>58</v>
      </c>
    </row>
    <row r="49" spans="1:13">
      <c r="C49" t="s">
        <v>45</v>
      </c>
      <c r="D49">
        <f>SUMPRODUCT($C$46:$C$48,D46:D48)</f>
        <v>17</v>
      </c>
      <c r="E49">
        <f t="shared" ref="E49:M49" si="13">SUMPRODUCT($C$46:$C$48,E46:E48)</f>
        <v>7</v>
      </c>
      <c r="F49">
        <f t="shared" si="13"/>
        <v>7</v>
      </c>
      <c r="G49">
        <f t="shared" si="13"/>
        <v>-1</v>
      </c>
      <c r="H49">
        <f t="shared" si="13"/>
        <v>-1</v>
      </c>
      <c r="I49">
        <f t="shared" si="13"/>
        <v>-1</v>
      </c>
      <c r="J49">
        <f t="shared" si="13"/>
        <v>1</v>
      </c>
      <c r="K49">
        <f t="shared" si="13"/>
        <v>1</v>
      </c>
      <c r="L49">
        <f t="shared" si="13"/>
        <v>1</v>
      </c>
      <c r="M49">
        <f t="shared" si="13"/>
        <v>95</v>
      </c>
    </row>
    <row r="50" spans="1:13">
      <c r="C50" t="s">
        <v>46</v>
      </c>
      <c r="D50">
        <f>17-D49</f>
        <v>0</v>
      </c>
      <c r="E50">
        <f>7-E49</f>
        <v>0</v>
      </c>
      <c r="F50">
        <f>7-F49</f>
        <v>0</v>
      </c>
      <c r="G50">
        <f>-1-G49</f>
        <v>0</v>
      </c>
      <c r="H50">
        <f>-1-H49</f>
        <v>0</v>
      </c>
      <c r="I50">
        <f>-1-I49</f>
        <v>0</v>
      </c>
      <c r="J50">
        <f>0-J49</f>
        <v>-1</v>
      </c>
      <c r="K50">
        <f>0-K49</f>
        <v>-1</v>
      </c>
      <c r="L50">
        <f>0-L49</f>
        <v>-1</v>
      </c>
      <c r="M50">
        <f>95-M49</f>
        <v>0</v>
      </c>
    </row>
    <row r="52" spans="1:13">
      <c r="A52" t="s">
        <v>29</v>
      </c>
    </row>
    <row r="53" spans="1:13">
      <c r="B53" t="s">
        <v>51</v>
      </c>
      <c r="C53">
        <v>150</v>
      </c>
      <c r="D53">
        <v>0</v>
      </c>
      <c r="E53">
        <v>-1.2000000000000002</v>
      </c>
      <c r="F53">
        <v>1</v>
      </c>
      <c r="G53">
        <v>0</v>
      </c>
      <c r="H53" s="3">
        <v>0.30000000000000004</v>
      </c>
      <c r="I53">
        <v>-0.5</v>
      </c>
      <c r="J53">
        <f>M46</f>
        <v>6.5</v>
      </c>
    </row>
    <row r="54" spans="1:13">
      <c r="B54" t="s">
        <v>42</v>
      </c>
      <c r="C54">
        <v>500</v>
      </c>
      <c r="D54">
        <f>D47</f>
        <v>1</v>
      </c>
      <c r="E54">
        <f t="shared" ref="E54:I54" si="14">E47</f>
        <v>0.8</v>
      </c>
      <c r="F54">
        <f t="shared" si="14"/>
        <v>0</v>
      </c>
      <c r="G54">
        <f t="shared" si="14"/>
        <v>0</v>
      </c>
      <c r="H54">
        <f t="shared" si="14"/>
        <v>-0.2</v>
      </c>
      <c r="I54">
        <f t="shared" si="14"/>
        <v>0</v>
      </c>
      <c r="J54">
        <f>M47</f>
        <v>4</v>
      </c>
    </row>
    <row r="55" spans="1:13">
      <c r="B55" t="s">
        <v>11</v>
      </c>
      <c r="C55">
        <v>0</v>
      </c>
      <c r="D55">
        <f>D48</f>
        <v>0</v>
      </c>
      <c r="E55">
        <f t="shared" ref="E55:I55" si="15">E48</f>
        <v>-1.8000000000000005</v>
      </c>
      <c r="F55">
        <f t="shared" si="15"/>
        <v>0</v>
      </c>
      <c r="G55">
        <f t="shared" si="15"/>
        <v>1</v>
      </c>
      <c r="H55">
        <f t="shared" si="15"/>
        <v>-0.29999999999999971</v>
      </c>
      <c r="I55">
        <f t="shared" si="15"/>
        <v>-2.5</v>
      </c>
      <c r="J55">
        <f>M48</f>
        <v>18.5</v>
      </c>
    </row>
    <row r="56" spans="1:13">
      <c r="C56" t="s">
        <v>3</v>
      </c>
      <c r="D56">
        <f>SUMPRODUCT(C53:C55,D53:D55)</f>
        <v>500</v>
      </c>
      <c r="E56">
        <f>SUMPRODUCT(C53:C55,E53:E55)</f>
        <v>219.99999999999997</v>
      </c>
      <c r="F56">
        <f>SUMPRODUCT(C53:C55,F53:F55)</f>
        <v>150</v>
      </c>
      <c r="G56">
        <f>SUMPRODUCT(C53:C55,G53:G55)</f>
        <v>0</v>
      </c>
      <c r="H56">
        <f>SUMPRODUCT(C53:C55,H53:H55)</f>
        <v>-54.999999999999993</v>
      </c>
      <c r="I56">
        <f>SUMPRODUCT(C53:C55,I53:I55)</f>
        <v>-75</v>
      </c>
      <c r="J56">
        <f>SUMPRODUCT(C53:C55,J53:J55)</f>
        <v>2975</v>
      </c>
    </row>
    <row r="57" spans="1:13">
      <c r="C57" t="s">
        <v>30</v>
      </c>
      <c r="D57">
        <f>D56-500</f>
        <v>0</v>
      </c>
      <c r="E57">
        <f>E56-350</f>
        <v>-130.00000000000003</v>
      </c>
      <c r="F57">
        <f>F56-150</f>
        <v>0</v>
      </c>
      <c r="G57">
        <f>G56-0</f>
        <v>0</v>
      </c>
      <c r="H57" s="3">
        <f>H56-0</f>
        <v>-54.999999999999993</v>
      </c>
      <c r="I57">
        <f>I56-0</f>
        <v>-75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C3020-7447-4838-837C-5D23AD7E2626}">
  <dimension ref="A1:M48"/>
  <sheetViews>
    <sheetView tabSelected="1" topLeftCell="A28" workbookViewId="0">
      <selection activeCell="K40" sqref="K40"/>
    </sheetView>
  </sheetViews>
  <sheetFormatPr defaultRowHeight="14.45"/>
  <cols>
    <col min="1" max="1" width="19.28515625" customWidth="1"/>
    <col min="3" max="3" width="14" customWidth="1"/>
  </cols>
  <sheetData>
    <row r="1" spans="1:6">
      <c r="A1" s="4" t="s">
        <v>33</v>
      </c>
    </row>
    <row r="2" spans="1:6">
      <c r="B2" s="2" t="s">
        <v>0</v>
      </c>
      <c r="C2" s="2" t="s">
        <v>1</v>
      </c>
      <c r="D2" s="2"/>
      <c r="E2" s="2" t="s">
        <v>38</v>
      </c>
    </row>
    <row r="3" spans="1:6">
      <c r="A3" s="4" t="s">
        <v>39</v>
      </c>
      <c r="B3" s="5">
        <v>1</v>
      </c>
      <c r="C3" s="5">
        <v>0</v>
      </c>
      <c r="D3" s="5">
        <f>SUMPRODUCT(B3:C3,B7:C7)</f>
        <v>2</v>
      </c>
      <c r="E3" s="5">
        <v>4</v>
      </c>
    </row>
    <row r="4" spans="1:6">
      <c r="B4" s="8">
        <v>0</v>
      </c>
      <c r="C4" s="8">
        <v>2</v>
      </c>
      <c r="D4" s="8">
        <f>SUMPRODUCT(B4:C4,B7:C7)</f>
        <v>12</v>
      </c>
      <c r="E4" s="8">
        <v>12</v>
      </c>
    </row>
    <row r="5" spans="1:6">
      <c r="B5" s="9">
        <v>3</v>
      </c>
      <c r="C5" s="9">
        <v>2</v>
      </c>
      <c r="D5" s="9">
        <f>SUMPRODUCT(B5:C5,B7:C7)</f>
        <v>18</v>
      </c>
      <c r="E5" s="9">
        <v>18</v>
      </c>
    </row>
    <row r="7" spans="1:6">
      <c r="A7" s="4" t="s">
        <v>34</v>
      </c>
      <c r="B7" s="5">
        <v>2</v>
      </c>
      <c r="C7" s="5">
        <v>6</v>
      </c>
    </row>
    <row r="9" spans="1:6">
      <c r="B9" s="2" t="s">
        <v>36</v>
      </c>
      <c r="C9" s="2" t="s">
        <v>37</v>
      </c>
    </row>
    <row r="10" spans="1:6">
      <c r="A10" s="4" t="s">
        <v>2</v>
      </c>
      <c r="B10" s="5">
        <v>3</v>
      </c>
      <c r="C10" s="5">
        <v>5</v>
      </c>
      <c r="E10" s="6" t="s">
        <v>3</v>
      </c>
      <c r="F10" s="5">
        <f>SUMPRODUCT(B10:C10,B7:C7)</f>
        <v>36</v>
      </c>
    </row>
    <row r="13" spans="1:6">
      <c r="A13" s="4" t="s">
        <v>50</v>
      </c>
    </row>
    <row r="14" spans="1:6">
      <c r="A14" s="4" t="s">
        <v>41</v>
      </c>
    </row>
    <row r="15" spans="1:6">
      <c r="A15" s="4" t="s">
        <v>39</v>
      </c>
    </row>
    <row r="16" spans="1:6">
      <c r="B16" s="2" t="s">
        <v>42</v>
      </c>
      <c r="C16" s="2" t="s">
        <v>43</v>
      </c>
      <c r="D16" s="2" t="s">
        <v>51</v>
      </c>
      <c r="E16" s="2"/>
      <c r="F16" s="2" t="s">
        <v>6</v>
      </c>
    </row>
    <row r="17" spans="1:13">
      <c r="B17" s="5">
        <v>1</v>
      </c>
      <c r="C17" s="5">
        <v>0</v>
      </c>
      <c r="D17" s="5">
        <v>3</v>
      </c>
      <c r="E17" s="5">
        <f>SUMPRODUCT(B17:D17,B20:D20)</f>
        <v>3</v>
      </c>
      <c r="F17" s="5">
        <v>3</v>
      </c>
    </row>
    <row r="18" spans="1:13">
      <c r="B18" s="5">
        <v>0</v>
      </c>
      <c r="C18" s="5">
        <v>2</v>
      </c>
      <c r="D18" s="5">
        <v>2</v>
      </c>
      <c r="E18" s="5">
        <f>SUMPRODUCT(B18:D18,B20:D20)</f>
        <v>5</v>
      </c>
      <c r="F18" s="5">
        <v>5</v>
      </c>
    </row>
    <row r="20" spans="1:13">
      <c r="A20" s="4" t="s">
        <v>34</v>
      </c>
      <c r="B20" s="5">
        <v>0</v>
      </c>
      <c r="C20" s="5">
        <v>1.5</v>
      </c>
      <c r="D20" s="5">
        <v>1</v>
      </c>
    </row>
    <row r="22" spans="1:13">
      <c r="A22" s="4" t="s">
        <v>2</v>
      </c>
      <c r="B22" s="5">
        <v>4</v>
      </c>
      <c r="C22" s="5">
        <v>12</v>
      </c>
      <c r="D22" s="5">
        <v>18</v>
      </c>
      <c r="F22" t="s">
        <v>44</v>
      </c>
      <c r="G22" s="5">
        <f>SUMPRODUCT(B20:D20,B22:D22)</f>
        <v>36</v>
      </c>
    </row>
    <row r="24" spans="1:13">
      <c r="A24" t="s">
        <v>7</v>
      </c>
    </row>
    <row r="25" spans="1:13">
      <c r="B25" t="s">
        <v>9</v>
      </c>
      <c r="C25" t="s">
        <v>2</v>
      </c>
      <c r="D25" t="s">
        <v>42</v>
      </c>
      <c r="E25" t="s">
        <v>43</v>
      </c>
      <c r="F25" s="3" t="s">
        <v>51</v>
      </c>
      <c r="G25" t="s">
        <v>11</v>
      </c>
      <c r="H25" t="s">
        <v>12</v>
      </c>
      <c r="I25" t="s">
        <v>14</v>
      </c>
      <c r="J25" t="s">
        <v>15</v>
      </c>
      <c r="K25" t="s">
        <v>6</v>
      </c>
    </row>
    <row r="26" spans="1:13">
      <c r="B26" t="s">
        <v>14</v>
      </c>
      <c r="C26">
        <v>0</v>
      </c>
      <c r="D26">
        <v>1</v>
      </c>
      <c r="E26">
        <v>0</v>
      </c>
      <c r="F26" s="3">
        <v>3</v>
      </c>
      <c r="G26">
        <v>-1</v>
      </c>
      <c r="H26">
        <v>0</v>
      </c>
      <c r="I26">
        <v>1</v>
      </c>
      <c r="J26">
        <v>0</v>
      </c>
      <c r="K26">
        <v>3</v>
      </c>
      <c r="M26">
        <f>K26/F26</f>
        <v>1</v>
      </c>
    </row>
    <row r="27" spans="1:13">
      <c r="B27" t="s">
        <v>15</v>
      </c>
      <c r="C27">
        <v>0</v>
      </c>
      <c r="D27">
        <v>0</v>
      </c>
      <c r="E27">
        <v>2</v>
      </c>
      <c r="F27">
        <v>2</v>
      </c>
      <c r="G27">
        <v>0</v>
      </c>
      <c r="H27">
        <v>-1</v>
      </c>
      <c r="I27">
        <v>0</v>
      </c>
      <c r="J27">
        <v>1</v>
      </c>
      <c r="K27">
        <v>5</v>
      </c>
      <c r="M27">
        <f>K27/F27</f>
        <v>2.5</v>
      </c>
    </row>
    <row r="28" spans="1:13">
      <c r="C28" t="s">
        <v>45</v>
      </c>
      <c r="D28">
        <f t="shared" ref="D28:K28" si="0">SUMPRODUCT($C$26:$C$27,D26:D27)</f>
        <v>0</v>
      </c>
      <c r="E28">
        <f t="shared" si="0"/>
        <v>0</v>
      </c>
      <c r="F28">
        <f t="shared" si="0"/>
        <v>0</v>
      </c>
      <c r="G28">
        <f t="shared" si="0"/>
        <v>0</v>
      </c>
      <c r="H28">
        <f t="shared" si="0"/>
        <v>0</v>
      </c>
      <c r="I28">
        <f t="shared" si="0"/>
        <v>0</v>
      </c>
      <c r="J28">
        <f t="shared" si="0"/>
        <v>0</v>
      </c>
      <c r="K28">
        <f t="shared" si="0"/>
        <v>0</v>
      </c>
    </row>
    <row r="29" spans="1:13">
      <c r="C29" t="s">
        <v>46</v>
      </c>
      <c r="D29">
        <f>1-D28</f>
        <v>1</v>
      </c>
      <c r="E29">
        <f>2-E28</f>
        <v>2</v>
      </c>
      <c r="F29" s="3">
        <f>5-F28</f>
        <v>5</v>
      </c>
      <c r="G29">
        <v>-1</v>
      </c>
      <c r="H29">
        <v>-1</v>
      </c>
      <c r="I29">
        <v>0</v>
      </c>
      <c r="J29">
        <v>0</v>
      </c>
      <c r="K29">
        <v>8</v>
      </c>
    </row>
    <row r="31" spans="1:13">
      <c r="B31" t="s">
        <v>51</v>
      </c>
      <c r="C31">
        <v>5</v>
      </c>
      <c r="D31">
        <f>D26/3</f>
        <v>0.33333333333333331</v>
      </c>
      <c r="E31">
        <f t="shared" ref="E31:K31" si="1">E26/3</f>
        <v>0</v>
      </c>
      <c r="F31">
        <f t="shared" si="1"/>
        <v>1</v>
      </c>
      <c r="G31">
        <f t="shared" si="1"/>
        <v>-0.33333333333333331</v>
      </c>
      <c r="H31">
        <f t="shared" si="1"/>
        <v>0</v>
      </c>
      <c r="I31">
        <f t="shared" si="1"/>
        <v>0.33333333333333331</v>
      </c>
      <c r="J31">
        <f t="shared" si="1"/>
        <v>0</v>
      </c>
      <c r="K31">
        <f t="shared" si="1"/>
        <v>1</v>
      </c>
    </row>
    <row r="32" spans="1:13">
      <c r="B32" t="s">
        <v>15</v>
      </c>
      <c r="C32">
        <v>0</v>
      </c>
      <c r="D32">
        <f>-2*D31+D27</f>
        <v>-0.66666666666666663</v>
      </c>
      <c r="E32" s="3">
        <f t="shared" ref="E32:K32" si="2">-2*E31+E27</f>
        <v>2</v>
      </c>
      <c r="F32">
        <f t="shared" si="2"/>
        <v>0</v>
      </c>
      <c r="G32">
        <f t="shared" si="2"/>
        <v>0.66666666666666663</v>
      </c>
      <c r="H32">
        <f t="shared" si="2"/>
        <v>-1</v>
      </c>
      <c r="I32">
        <f t="shared" si="2"/>
        <v>-0.66666666666666663</v>
      </c>
      <c r="J32">
        <f t="shared" si="2"/>
        <v>1</v>
      </c>
      <c r="K32">
        <f t="shared" si="2"/>
        <v>3</v>
      </c>
    </row>
    <row r="33" spans="1:11">
      <c r="C33" t="s">
        <v>45</v>
      </c>
      <c r="D33">
        <f>SUMPRODUCT($C31:$C32,D31:D32)</f>
        <v>1.6666666666666665</v>
      </c>
      <c r="E33">
        <f t="shared" ref="E33:K33" si="3">SUMPRODUCT($C31:$C32,E31:E32)</f>
        <v>0</v>
      </c>
      <c r="F33">
        <f t="shared" si="3"/>
        <v>5</v>
      </c>
      <c r="G33">
        <f t="shared" si="3"/>
        <v>-1.6666666666666665</v>
      </c>
      <c r="H33">
        <f t="shared" si="3"/>
        <v>0</v>
      </c>
      <c r="I33">
        <f t="shared" si="3"/>
        <v>1.6666666666666665</v>
      </c>
      <c r="J33">
        <f t="shared" si="3"/>
        <v>0</v>
      </c>
      <c r="K33">
        <f t="shared" si="3"/>
        <v>5</v>
      </c>
    </row>
    <row r="34" spans="1:11">
      <c r="C34" t="s">
        <v>46</v>
      </c>
      <c r="D34">
        <f>1-D33</f>
        <v>-0.66666666666666652</v>
      </c>
      <c r="E34" s="3">
        <f>2-E33</f>
        <v>2</v>
      </c>
      <c r="F34">
        <f>5-F33</f>
        <v>0</v>
      </c>
      <c r="G34">
        <f>-1-G33</f>
        <v>0.66666666666666652</v>
      </c>
      <c r="H34">
        <f>-1-H33</f>
        <v>-1</v>
      </c>
      <c r="I34">
        <f>0-I33</f>
        <v>-1.6666666666666665</v>
      </c>
      <c r="J34">
        <f ca="1">0-J34</f>
        <v>0</v>
      </c>
      <c r="K34">
        <f>8-K33</f>
        <v>3</v>
      </c>
    </row>
    <row r="36" spans="1:11">
      <c r="B36" t="s">
        <v>51</v>
      </c>
      <c r="C36">
        <v>5</v>
      </c>
      <c r="D36">
        <f>D31</f>
        <v>0.33333333333333331</v>
      </c>
      <c r="E36">
        <f t="shared" ref="E36:K36" si="4">E31</f>
        <v>0</v>
      </c>
      <c r="F36">
        <f t="shared" si="4"/>
        <v>1</v>
      </c>
      <c r="G36">
        <f t="shared" si="4"/>
        <v>-0.33333333333333331</v>
      </c>
      <c r="H36">
        <f t="shared" si="4"/>
        <v>0</v>
      </c>
      <c r="I36">
        <f t="shared" si="4"/>
        <v>0.33333333333333331</v>
      </c>
      <c r="J36">
        <f t="shared" si="4"/>
        <v>0</v>
      </c>
      <c r="K36">
        <f t="shared" si="4"/>
        <v>1</v>
      </c>
    </row>
    <row r="37" spans="1:11">
      <c r="B37" t="s">
        <v>43</v>
      </c>
      <c r="C37">
        <v>2</v>
      </c>
      <c r="D37">
        <f>D32/2</f>
        <v>-0.33333333333333331</v>
      </c>
      <c r="E37">
        <f t="shared" ref="E37:K37" si="5">E32/2</f>
        <v>1</v>
      </c>
      <c r="F37">
        <f t="shared" si="5"/>
        <v>0</v>
      </c>
      <c r="G37">
        <f t="shared" si="5"/>
        <v>0.33333333333333331</v>
      </c>
      <c r="H37">
        <f t="shared" si="5"/>
        <v>-0.5</v>
      </c>
      <c r="I37">
        <f t="shared" si="5"/>
        <v>-0.33333333333333331</v>
      </c>
      <c r="J37">
        <f t="shared" si="5"/>
        <v>0.5</v>
      </c>
      <c r="K37">
        <f t="shared" si="5"/>
        <v>1.5</v>
      </c>
    </row>
    <row r="38" spans="1:11">
      <c r="C38" t="s">
        <v>45</v>
      </c>
      <c r="D38">
        <f>SUMPRODUCT($C$36:$C$37,D36:D37)</f>
        <v>0.99999999999999989</v>
      </c>
      <c r="E38">
        <f t="shared" ref="E38:K38" si="6">SUMPRODUCT($C$36:$C$37,E36:E37)</f>
        <v>2</v>
      </c>
      <c r="F38">
        <f t="shared" si="6"/>
        <v>5</v>
      </c>
      <c r="G38">
        <f t="shared" si="6"/>
        <v>-0.99999999999999989</v>
      </c>
      <c r="H38">
        <f t="shared" si="6"/>
        <v>-1</v>
      </c>
      <c r="I38">
        <f t="shared" si="6"/>
        <v>0.99999999999999989</v>
      </c>
      <c r="J38">
        <f t="shared" si="6"/>
        <v>1</v>
      </c>
      <c r="K38">
        <f t="shared" si="6"/>
        <v>8</v>
      </c>
    </row>
    <row r="39" spans="1:11">
      <c r="C39" t="s">
        <v>46</v>
      </c>
      <c r="D39">
        <f>1-D38</f>
        <v>0</v>
      </c>
      <c r="E39">
        <f>2-E38</f>
        <v>0</v>
      </c>
      <c r="F39">
        <f>5-F38</f>
        <v>0</v>
      </c>
      <c r="G39">
        <f>-1-G38</f>
        <v>0</v>
      </c>
      <c r="H39">
        <f>-1-H38</f>
        <v>0</v>
      </c>
      <c r="I39">
        <f>0-I38</f>
        <v>-0.99999999999999989</v>
      </c>
      <c r="J39">
        <f>0-J38</f>
        <v>-1</v>
      </c>
      <c r="K39">
        <f>8-K38</f>
        <v>0</v>
      </c>
    </row>
    <row r="41" spans="1:11">
      <c r="A41" t="s">
        <v>29</v>
      </c>
    </row>
    <row r="42" spans="1:11">
      <c r="B42" t="s">
        <v>51</v>
      </c>
      <c r="C42">
        <v>18</v>
      </c>
      <c r="D42">
        <f>D36</f>
        <v>0.33333333333333331</v>
      </c>
      <c r="E42">
        <f t="shared" ref="E42:H42" si="7">E36</f>
        <v>0</v>
      </c>
      <c r="F42">
        <f t="shared" si="7"/>
        <v>1</v>
      </c>
      <c r="G42">
        <f t="shared" si="7"/>
        <v>-0.33333333333333331</v>
      </c>
      <c r="H42">
        <f t="shared" si="7"/>
        <v>0</v>
      </c>
      <c r="I42">
        <f>K36</f>
        <v>1</v>
      </c>
    </row>
    <row r="43" spans="1:11">
      <c r="B43" t="s">
        <v>43</v>
      </c>
      <c r="C43" s="10">
        <v>12</v>
      </c>
      <c r="D43">
        <f>D37</f>
        <v>-0.33333333333333331</v>
      </c>
      <c r="E43">
        <f t="shared" ref="E43:H43" si="8">E37</f>
        <v>1</v>
      </c>
      <c r="F43">
        <f t="shared" si="8"/>
        <v>0</v>
      </c>
      <c r="G43">
        <f t="shared" si="8"/>
        <v>0.33333333333333331</v>
      </c>
      <c r="H43">
        <f t="shared" si="8"/>
        <v>-0.5</v>
      </c>
      <c r="I43">
        <f>K37</f>
        <v>1.5</v>
      </c>
    </row>
    <row r="44" spans="1:11">
      <c r="C44" t="s">
        <v>3</v>
      </c>
      <c r="D44">
        <f>SUMPRODUCT($C$42:$C$43,D42:D43)</f>
        <v>2</v>
      </c>
      <c r="E44">
        <f t="shared" ref="E44:I44" si="9">SUMPRODUCT($C$42:$C$43,E42:E43)</f>
        <v>12</v>
      </c>
      <c r="F44">
        <f t="shared" si="9"/>
        <v>18</v>
      </c>
      <c r="G44">
        <f t="shared" si="9"/>
        <v>-2</v>
      </c>
      <c r="H44">
        <f t="shared" si="9"/>
        <v>-6</v>
      </c>
      <c r="I44">
        <f t="shared" si="9"/>
        <v>36</v>
      </c>
    </row>
    <row r="45" spans="1:11">
      <c r="C45" t="s">
        <v>30</v>
      </c>
      <c r="D45">
        <f>D44-4</f>
        <v>-2</v>
      </c>
      <c r="E45">
        <f>E44-12</f>
        <v>0</v>
      </c>
      <c r="F45">
        <f>F44-18</f>
        <v>0</v>
      </c>
      <c r="G45">
        <f>G44-0</f>
        <v>-2</v>
      </c>
      <c r="H45">
        <f>H44-0</f>
        <v>-6</v>
      </c>
    </row>
    <row r="47" spans="1:11">
      <c r="B47" s="5" t="s">
        <v>51</v>
      </c>
      <c r="C47" s="5">
        <v>1</v>
      </c>
    </row>
    <row r="48" spans="1:11">
      <c r="B48" s="5" t="s">
        <v>43</v>
      </c>
      <c r="C48" s="5">
        <v>1.5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Clayton Silva</dc:creator>
  <cp:keywords/>
  <dc:description/>
  <cp:lastModifiedBy>Clayton Silva</cp:lastModifiedBy>
  <cp:revision/>
  <dcterms:created xsi:type="dcterms:W3CDTF">2026-09-14T09:54:22Z</dcterms:created>
  <dcterms:modified xsi:type="dcterms:W3CDTF">2026-09-15T10:08:13Z</dcterms:modified>
  <cp:category/>
  <cp:contentStatus/>
</cp:coreProperties>
</file>