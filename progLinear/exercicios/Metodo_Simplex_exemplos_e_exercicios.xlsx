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ef9a7b83f2ddc4/Arquivo_pessoal/Ensino/programacao-linear/"/>
    </mc:Choice>
  </mc:AlternateContent>
  <xr:revisionPtr revIDLastSave="1194" documentId="8_{4CAE3B55-28DF-4645-9B77-049957FB4E9B}" xr6:coauthVersionLast="47" xr6:coauthVersionMax="47" xr10:uidLastSave="{C1DBD647-50E2-47BC-8E30-4E5A11E7C6D5}"/>
  <bookViews>
    <workbookView xWindow="-108" yWindow="-108" windowWidth="23256" windowHeight="12456" firstSheet="3" activeTab="6" xr2:uid="{BC4CC188-7A29-4ECC-830A-209069F6CA88}"/>
  </bookViews>
  <sheets>
    <sheet name="Simplex-exemplo1" sheetId="13" r:id="rId1"/>
    <sheet name="Simplex-exemplo2" sheetId="14" r:id="rId2"/>
    <sheet name="Simplex-exercicio1" sheetId="9" r:id="rId3"/>
    <sheet name="Simplex-exercicio2" sheetId="10" r:id="rId4"/>
    <sheet name="Simplex-exercicio3" sheetId="11" r:id="rId5"/>
    <sheet name="Simplex-exercicio4" sheetId="12" r:id="rId6"/>
    <sheet name="Simplex-exercicio1 (2)" sheetId="15" r:id="rId7"/>
  </sheets>
  <definedNames>
    <definedName name="solver_adj" localSheetId="5" hidden="1">'Simplex-exercicio4'!$B$8:$D$8</definedName>
    <definedName name="solver_cvg" localSheetId="5" hidden="1">0.0001</definedName>
    <definedName name="solver_drv" localSheetId="5" hidden="1">1</definedName>
    <definedName name="solver_eng" localSheetId="5" hidden="1">2</definedName>
    <definedName name="solver_est" localSheetId="5" hidden="1">1</definedName>
    <definedName name="solver_itr" localSheetId="5" hidden="1">2147483647</definedName>
    <definedName name="solver_lhs1" localSheetId="5" hidden="1">'Simplex-exercicio4'!$E$4</definedName>
    <definedName name="solver_lhs2" localSheetId="5" hidden="1">'Simplex-exercicio4'!$E$5</definedName>
    <definedName name="solver_lhs3" localSheetId="5" hidden="1">'Simplex-exercicio4'!$E$6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1</definedName>
    <definedName name="solver_nod" localSheetId="5" hidden="1">2147483647</definedName>
    <definedName name="solver_num" localSheetId="5" hidden="1">3</definedName>
    <definedName name="solver_nwt" localSheetId="5" hidden="1">1</definedName>
    <definedName name="solver_opt" localSheetId="5" hidden="1">'Simplex-exercicio4'!$G$11</definedName>
    <definedName name="solver_pre" localSheetId="5" hidden="1">0.000001</definedName>
    <definedName name="solver_rbv" localSheetId="5" hidden="1">1</definedName>
    <definedName name="solver_rel1" localSheetId="5" hidden="1">1</definedName>
    <definedName name="solver_rel2" localSheetId="5" hidden="1">1</definedName>
    <definedName name="solver_rel3" localSheetId="5" hidden="1">1</definedName>
    <definedName name="solver_rhs1" localSheetId="5" hidden="1">'Simplex-exercicio4'!$F$4</definedName>
    <definedName name="solver_rhs2" localSheetId="5" hidden="1">'Simplex-exercicio4'!$F$5</definedName>
    <definedName name="solver_rhs3" localSheetId="5" hidden="1">'Simplex-exercicio4'!$F$6</definedName>
    <definedName name="solver_rlx" localSheetId="5" hidden="1">2</definedName>
    <definedName name="solver_rsd" localSheetId="5" hidden="1">0</definedName>
    <definedName name="solver_scl" localSheetId="5" hidden="1">1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5" hidden="1">1</definedName>
    <definedName name="solver_val" localSheetId="5" hidden="1">0</definedName>
    <definedName name="solver_ver" localSheetId="5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3" i="15" l="1"/>
  <c r="H53" i="15"/>
  <c r="F53" i="15"/>
  <c r="E53" i="15"/>
  <c r="J52" i="15"/>
  <c r="I52" i="15"/>
  <c r="H52" i="15"/>
  <c r="F52" i="15"/>
  <c r="E52" i="15"/>
  <c r="F49" i="15"/>
  <c r="G49" i="15"/>
  <c r="H49" i="15"/>
  <c r="I49" i="15"/>
  <c r="J49" i="15"/>
  <c r="E49" i="15"/>
  <c r="F50" i="15"/>
  <c r="G50" i="15"/>
  <c r="H50" i="15"/>
  <c r="I50" i="15"/>
  <c r="J50" i="15"/>
  <c r="F51" i="15"/>
  <c r="G51" i="15"/>
  <c r="H51" i="15"/>
  <c r="I51" i="15"/>
  <c r="J51" i="15"/>
  <c r="E51" i="15"/>
  <c r="E50" i="15"/>
  <c r="N36" i="15"/>
  <c r="N34" i="15"/>
  <c r="J37" i="15"/>
  <c r="I37" i="15"/>
  <c r="H37" i="15"/>
  <c r="G37" i="15"/>
  <c r="F37" i="15"/>
  <c r="E37" i="15"/>
  <c r="F36" i="15"/>
  <c r="G36" i="15"/>
  <c r="H36" i="15"/>
  <c r="I36" i="15"/>
  <c r="J36" i="15"/>
  <c r="E36" i="15"/>
  <c r="F34" i="15"/>
  <c r="G34" i="15"/>
  <c r="H34" i="15"/>
  <c r="I34" i="15"/>
  <c r="J34" i="15"/>
  <c r="E34" i="15"/>
  <c r="F35" i="15"/>
  <c r="G35" i="15"/>
  <c r="H35" i="15"/>
  <c r="I35" i="15"/>
  <c r="J35" i="15"/>
  <c r="E35" i="15"/>
  <c r="L21" i="15"/>
  <c r="L20" i="15"/>
  <c r="D6" i="15"/>
  <c r="F11" i="15"/>
  <c r="D5" i="15"/>
  <c r="D4" i="15"/>
  <c r="H11" i="11"/>
  <c r="D6" i="11"/>
  <c r="J68" i="14"/>
  <c r="I68" i="14"/>
  <c r="H68" i="14"/>
  <c r="G68" i="14"/>
  <c r="F68" i="14"/>
  <c r="E68" i="14"/>
  <c r="F67" i="14"/>
  <c r="G67" i="14"/>
  <c r="H67" i="14"/>
  <c r="I67" i="14"/>
  <c r="J67" i="14"/>
  <c r="K67" i="14"/>
  <c r="E67" i="14"/>
  <c r="F64" i="14"/>
  <c r="G64" i="14"/>
  <c r="H64" i="14"/>
  <c r="I64" i="14"/>
  <c r="J64" i="14"/>
  <c r="K64" i="14"/>
  <c r="E64" i="14"/>
  <c r="F65" i="14"/>
  <c r="G65" i="14"/>
  <c r="H65" i="14"/>
  <c r="I65" i="14"/>
  <c r="J65" i="14"/>
  <c r="K65" i="14"/>
  <c r="E65" i="14"/>
  <c r="F66" i="14"/>
  <c r="G66" i="14"/>
  <c r="H66" i="14"/>
  <c r="I66" i="14"/>
  <c r="J66" i="14"/>
  <c r="K66" i="14"/>
  <c r="E66" i="14"/>
  <c r="O51" i="14"/>
  <c r="O50" i="14"/>
  <c r="O49" i="14"/>
  <c r="J53" i="14"/>
  <c r="I53" i="14"/>
  <c r="H53" i="14"/>
  <c r="G53" i="14"/>
  <c r="F53" i="14"/>
  <c r="E53" i="14"/>
  <c r="F52" i="14"/>
  <c r="G52" i="14"/>
  <c r="H52" i="14"/>
  <c r="I52" i="14"/>
  <c r="J52" i="14"/>
  <c r="K52" i="14"/>
  <c r="E52" i="14"/>
  <c r="F51" i="14"/>
  <c r="G51" i="14"/>
  <c r="H51" i="14"/>
  <c r="I51" i="14"/>
  <c r="J51" i="14"/>
  <c r="K51" i="14"/>
  <c r="E51" i="14"/>
  <c r="F34" i="14"/>
  <c r="F37" i="14" s="1"/>
  <c r="F38" i="14" s="1"/>
  <c r="I34" i="14"/>
  <c r="I37" i="14" s="1"/>
  <c r="I38" i="14" s="1"/>
  <c r="E35" i="14"/>
  <c r="E36" i="14" s="1"/>
  <c r="F35" i="14"/>
  <c r="F36" i="14" s="1"/>
  <c r="G35" i="14"/>
  <c r="G34" i="14" s="1"/>
  <c r="H35" i="14"/>
  <c r="H34" i="14" s="1"/>
  <c r="I35" i="14"/>
  <c r="J35" i="14"/>
  <c r="J36" i="14" s="1"/>
  <c r="K35" i="14"/>
  <c r="K34" i="14" s="1"/>
  <c r="I36" i="14"/>
  <c r="K36" i="14"/>
  <c r="O36" i="14" s="1"/>
  <c r="M21" i="14"/>
  <c r="M20" i="14"/>
  <c r="M19" i="14"/>
  <c r="E6" i="14"/>
  <c r="E5" i="14"/>
  <c r="E4" i="14"/>
  <c r="G11" i="14"/>
  <c r="H43" i="13"/>
  <c r="G43" i="13"/>
  <c r="F43" i="13"/>
  <c r="E43" i="13"/>
  <c r="F42" i="13"/>
  <c r="G42" i="13"/>
  <c r="H42" i="13"/>
  <c r="I42" i="13"/>
  <c r="E42" i="13"/>
  <c r="F40" i="13"/>
  <c r="G40" i="13"/>
  <c r="H40" i="13"/>
  <c r="I40" i="13"/>
  <c r="E40" i="13"/>
  <c r="F41" i="13"/>
  <c r="G41" i="13"/>
  <c r="H41" i="13"/>
  <c r="I41" i="13"/>
  <c r="E41" i="13"/>
  <c r="M30" i="13"/>
  <c r="M29" i="13"/>
  <c r="H32" i="13"/>
  <c r="G32" i="13"/>
  <c r="F32" i="13"/>
  <c r="E32" i="13"/>
  <c r="F31" i="13"/>
  <c r="G31" i="13"/>
  <c r="H31" i="13"/>
  <c r="I31" i="13"/>
  <c r="E31" i="13"/>
  <c r="F30" i="13"/>
  <c r="G30" i="13"/>
  <c r="H30" i="13"/>
  <c r="I30" i="13"/>
  <c r="E30" i="13"/>
  <c r="F29" i="13"/>
  <c r="G29" i="13"/>
  <c r="H29" i="13"/>
  <c r="I29" i="13"/>
  <c r="E29" i="13"/>
  <c r="K19" i="13"/>
  <c r="K18" i="13"/>
  <c r="F10" i="13"/>
  <c r="D5" i="13"/>
  <c r="D4" i="13"/>
  <c r="J68" i="12"/>
  <c r="I68" i="12"/>
  <c r="H68" i="12"/>
  <c r="G68" i="12"/>
  <c r="F68" i="12"/>
  <c r="E68" i="12"/>
  <c r="F67" i="12"/>
  <c r="G67" i="12"/>
  <c r="H67" i="12"/>
  <c r="I67" i="12"/>
  <c r="J67" i="12"/>
  <c r="K67" i="12"/>
  <c r="E67" i="12"/>
  <c r="F64" i="12"/>
  <c r="G64" i="12"/>
  <c r="H64" i="12"/>
  <c r="I64" i="12"/>
  <c r="J64" i="12"/>
  <c r="K64" i="12"/>
  <c r="E64" i="12"/>
  <c r="F65" i="12"/>
  <c r="G65" i="12"/>
  <c r="H65" i="12"/>
  <c r="I65" i="12"/>
  <c r="J65" i="12"/>
  <c r="K65" i="12"/>
  <c r="E65" i="12"/>
  <c r="F66" i="12"/>
  <c r="G66" i="12"/>
  <c r="H66" i="12"/>
  <c r="I66" i="12"/>
  <c r="J66" i="12"/>
  <c r="K66" i="12"/>
  <c r="E66" i="12"/>
  <c r="O51" i="12"/>
  <c r="O50" i="12"/>
  <c r="O49" i="12"/>
  <c r="J53" i="12"/>
  <c r="I53" i="12"/>
  <c r="H53" i="12"/>
  <c r="G53" i="12"/>
  <c r="F53" i="12"/>
  <c r="E53" i="12"/>
  <c r="F52" i="12"/>
  <c r="G52" i="12"/>
  <c r="H52" i="12"/>
  <c r="I52" i="12"/>
  <c r="J52" i="12"/>
  <c r="K52" i="12"/>
  <c r="E52" i="12"/>
  <c r="F51" i="12"/>
  <c r="G51" i="12"/>
  <c r="H51" i="12"/>
  <c r="I51" i="12"/>
  <c r="J51" i="12"/>
  <c r="K51" i="12"/>
  <c r="E51" i="12"/>
  <c r="F50" i="12"/>
  <c r="G50" i="12"/>
  <c r="H50" i="12"/>
  <c r="I50" i="12"/>
  <c r="J50" i="12"/>
  <c r="K50" i="12"/>
  <c r="E50" i="12"/>
  <c r="F49" i="12"/>
  <c r="G49" i="12"/>
  <c r="H49" i="12"/>
  <c r="I49" i="12"/>
  <c r="J49" i="12"/>
  <c r="K49" i="12"/>
  <c r="E49" i="12"/>
  <c r="O34" i="12"/>
  <c r="O35" i="12"/>
  <c r="O36" i="12"/>
  <c r="F37" i="12"/>
  <c r="F38" i="12" s="1"/>
  <c r="G37" i="12"/>
  <c r="G38" i="12" s="1"/>
  <c r="F34" i="12"/>
  <c r="G34" i="12"/>
  <c r="H34" i="12"/>
  <c r="H37" i="12" s="1"/>
  <c r="H38" i="12" s="1"/>
  <c r="F35" i="12"/>
  <c r="G35" i="12"/>
  <c r="H35" i="12"/>
  <c r="I35" i="12"/>
  <c r="F36" i="12"/>
  <c r="G36" i="12"/>
  <c r="H36" i="12"/>
  <c r="I36" i="12"/>
  <c r="I34" i="12" s="1"/>
  <c r="I37" i="12" s="1"/>
  <c r="I38" i="12" s="1"/>
  <c r="J36" i="12"/>
  <c r="J35" i="12" s="1"/>
  <c r="K36" i="12"/>
  <c r="K35" i="12" s="1"/>
  <c r="E36" i="12"/>
  <c r="E35" i="12" s="1"/>
  <c r="M21" i="12"/>
  <c r="M20" i="12"/>
  <c r="M19" i="12"/>
  <c r="E6" i="12"/>
  <c r="E5" i="12"/>
  <c r="E4" i="12"/>
  <c r="G11" i="12"/>
  <c r="G33" i="11"/>
  <c r="H33" i="11"/>
  <c r="I33" i="11"/>
  <c r="G34" i="11"/>
  <c r="G48" i="11" s="1"/>
  <c r="H34" i="11"/>
  <c r="H35" i="11" s="1"/>
  <c r="H49" i="11" s="1"/>
  <c r="H47" i="11" s="1"/>
  <c r="I34" i="11"/>
  <c r="I48" i="11" s="1"/>
  <c r="J21" i="11"/>
  <c r="L21" i="11" s="1"/>
  <c r="J20" i="11"/>
  <c r="F20" i="11"/>
  <c r="F34" i="11" s="1"/>
  <c r="E20" i="11"/>
  <c r="E34" i="11" s="1"/>
  <c r="J19" i="11"/>
  <c r="F19" i="11"/>
  <c r="F33" i="11" s="1"/>
  <c r="E19" i="11"/>
  <c r="E33" i="11" s="1"/>
  <c r="D5" i="11"/>
  <c r="I42" i="10"/>
  <c r="H42" i="10"/>
  <c r="G42" i="10"/>
  <c r="F43" i="10"/>
  <c r="F42" i="10"/>
  <c r="E43" i="10"/>
  <c r="E42" i="10"/>
  <c r="F40" i="10"/>
  <c r="G40" i="10"/>
  <c r="G43" i="10" s="1"/>
  <c r="H40" i="10"/>
  <c r="I40" i="10"/>
  <c r="E40" i="10"/>
  <c r="F41" i="10"/>
  <c r="G41" i="10"/>
  <c r="H41" i="10"/>
  <c r="I41" i="10"/>
  <c r="E41" i="10"/>
  <c r="M30" i="10"/>
  <c r="M29" i="10"/>
  <c r="H32" i="10"/>
  <c r="G32" i="10"/>
  <c r="F32" i="10"/>
  <c r="E32" i="10"/>
  <c r="I31" i="10"/>
  <c r="H31" i="10"/>
  <c r="G31" i="10"/>
  <c r="F31" i="10"/>
  <c r="E31" i="10"/>
  <c r="F30" i="10"/>
  <c r="G30" i="10"/>
  <c r="H30" i="10"/>
  <c r="I30" i="10"/>
  <c r="E30" i="10"/>
  <c r="F29" i="10"/>
  <c r="G29" i="10"/>
  <c r="H29" i="10"/>
  <c r="I29" i="10"/>
  <c r="E29" i="10"/>
  <c r="K19" i="10"/>
  <c r="K18" i="10"/>
  <c r="H43" i="10"/>
  <c r="I19" i="10"/>
  <c r="F19" i="10"/>
  <c r="E19" i="10"/>
  <c r="I18" i="10"/>
  <c r="F18" i="10"/>
  <c r="E18" i="10"/>
  <c r="F10" i="10"/>
  <c r="D5" i="10"/>
  <c r="D4" i="10"/>
  <c r="H43" i="9"/>
  <c r="G43" i="9"/>
  <c r="F43" i="9"/>
  <c r="E43" i="9"/>
  <c r="I42" i="9"/>
  <c r="H42" i="9"/>
  <c r="G42" i="9"/>
  <c r="F42" i="9"/>
  <c r="E42" i="9"/>
  <c r="F40" i="9"/>
  <c r="G40" i="9"/>
  <c r="H40" i="9"/>
  <c r="I40" i="9"/>
  <c r="E40" i="9"/>
  <c r="F41" i="9"/>
  <c r="G41" i="9"/>
  <c r="H41" i="9"/>
  <c r="I41" i="9"/>
  <c r="E41" i="9"/>
  <c r="M30" i="9"/>
  <c r="H32" i="9"/>
  <c r="G32" i="9"/>
  <c r="I31" i="9"/>
  <c r="H31" i="9"/>
  <c r="G31" i="9"/>
  <c r="F31" i="9"/>
  <c r="E32" i="9"/>
  <c r="E31" i="9"/>
  <c r="I30" i="9"/>
  <c r="F30" i="9"/>
  <c r="G30" i="9"/>
  <c r="H30" i="9"/>
  <c r="E30" i="9"/>
  <c r="F29" i="9"/>
  <c r="K19" i="9"/>
  <c r="K18" i="9"/>
  <c r="I19" i="9"/>
  <c r="F19" i="9"/>
  <c r="E19" i="9"/>
  <c r="I18" i="9"/>
  <c r="F18" i="9"/>
  <c r="E18" i="9"/>
  <c r="F10" i="9"/>
  <c r="D5" i="9"/>
  <c r="D4" i="9"/>
  <c r="K49" i="14" l="1"/>
  <c r="K50" i="14" s="1"/>
  <c r="F49" i="14"/>
  <c r="F50" i="14" s="1"/>
  <c r="E34" i="14"/>
  <c r="O35" i="14"/>
  <c r="I49" i="14"/>
  <c r="I50" i="14" s="1"/>
  <c r="K37" i="14"/>
  <c r="O34" i="14"/>
  <c r="G36" i="14"/>
  <c r="G37" i="14" s="1"/>
  <c r="G38" i="14" s="1"/>
  <c r="H36" i="14"/>
  <c r="H37" i="14" s="1"/>
  <c r="H38" i="14" s="1"/>
  <c r="J34" i="14"/>
  <c r="J49" i="14" s="1"/>
  <c r="J50" i="14" s="1"/>
  <c r="E34" i="12"/>
  <c r="E37" i="12" s="1"/>
  <c r="E38" i="12" s="1"/>
  <c r="K34" i="12"/>
  <c r="J34" i="12"/>
  <c r="J37" i="12" s="1"/>
  <c r="J38" i="12" s="1"/>
  <c r="F48" i="11"/>
  <c r="F35" i="11"/>
  <c r="F49" i="11" s="1"/>
  <c r="F47" i="11" s="1"/>
  <c r="F50" i="11" s="1"/>
  <c r="F51" i="11" s="1"/>
  <c r="L20" i="11"/>
  <c r="L19" i="11"/>
  <c r="H48" i="11"/>
  <c r="H50" i="11" s="1"/>
  <c r="H51" i="11" s="1"/>
  <c r="E35" i="11"/>
  <c r="E49" i="11" s="1"/>
  <c r="E47" i="11" s="1"/>
  <c r="E48" i="11"/>
  <c r="H36" i="11"/>
  <c r="H37" i="11" s="1"/>
  <c r="I35" i="11"/>
  <c r="I49" i="11" s="1"/>
  <c r="I47" i="11" s="1"/>
  <c r="I50" i="11" s="1"/>
  <c r="I51" i="11" s="1"/>
  <c r="J33" i="11"/>
  <c r="G35" i="11"/>
  <c r="G49" i="11" s="1"/>
  <c r="G47" i="11" s="1"/>
  <c r="G50" i="11" s="1"/>
  <c r="G51" i="11" s="1"/>
  <c r="J34" i="11"/>
  <c r="E50" i="11" l="1"/>
  <c r="E51" i="11" s="1"/>
  <c r="F36" i="11"/>
  <c r="F37" i="11" s="1"/>
  <c r="E37" i="14"/>
  <c r="E38" i="14" s="1"/>
  <c r="E49" i="14"/>
  <c r="E50" i="14" s="1"/>
  <c r="H49" i="14"/>
  <c r="H50" i="14" s="1"/>
  <c r="G49" i="14"/>
  <c r="G50" i="14" s="1"/>
  <c r="J37" i="14"/>
  <c r="J38" i="14" s="1"/>
  <c r="K37" i="12"/>
  <c r="G36" i="11"/>
  <c r="G37" i="11" s="1"/>
  <c r="I36" i="11"/>
  <c r="I37" i="11" s="1"/>
  <c r="J48" i="11"/>
  <c r="J35" i="11"/>
  <c r="J36" i="11" s="1"/>
  <c r="N34" i="11"/>
  <c r="N33" i="11"/>
  <c r="E36" i="11"/>
  <c r="E37" i="11" s="1"/>
  <c r="J49" i="11" l="1"/>
  <c r="N35" i="11"/>
  <c r="J47" i="11" l="1"/>
  <c r="J50" i="11" l="1"/>
  <c r="D4" i="11"/>
  <c r="G52" i="15"/>
  <c r="G53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tc={DDCFB66F-B103-48A7-A33B-65F8F5FBC996}</author>
    <author>tc={8BFD9DA2-AD9D-4398-85D0-AC1FAD79C0F5}</author>
  </authors>
  <commentList>
    <comment ref="F20" authorId="0" shapeId="0" xr:uid="{DDCFB66F-B103-48A7-A33B-65F8F5FBC9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PIVÔ</t>
      </text>
    </comment>
    <comment ref="E34" authorId="1" shapeId="0" xr:uid="{8BFD9DA2-AD9D-4398-85D0-AC1FAD79C0F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PIVÔ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tc={50C8B75A-EA2C-4A83-A911-8CBB835E9869}</author>
    <author>tc={32C829DF-6B1F-4502-A1BD-EEF6F0A5CE52}</author>
  </authors>
  <commentList>
    <comment ref="E18" authorId="0" shapeId="0" xr:uid="{50C8B75A-EA2C-4A83-A911-8CBB835E98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PIVÔ</t>
      </text>
    </comment>
    <comment ref="F30" authorId="1" shapeId="0" xr:uid="{32C829DF-6B1F-4502-A1BD-EEF6F0A5CE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PIVÔ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tc={6B4D6DB4-AACF-4140-8ECF-6C188D448078}</author>
  </authors>
  <commentList>
    <comment ref="E18" authorId="0" shapeId="0" xr:uid="{6B4D6DB4-AACF-4140-8ECF-6C188D44807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PIVÔ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tc={8BFAED2A-86C2-460B-9B77-3AA202700D5B}</author>
    <author>tc={F159456C-31D5-40A8-9590-503800056732}</author>
  </authors>
  <commentList>
    <comment ref="F20" authorId="0" shapeId="0" xr:uid="{8BFAED2A-86C2-460B-9B77-3AA202700D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PIVÔ</t>
      </text>
    </comment>
    <comment ref="E35" authorId="1" shapeId="0" xr:uid="{F159456C-31D5-40A8-9590-5038000567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PIVÔ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tc={6A26EACF-15BF-42BA-983E-99C591B01B25}</author>
  </authors>
  <commentList>
    <comment ref="F34" authorId="0" shapeId="0" xr:uid="{6A26EACF-15BF-42BA-983E-99C591B01B2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PIVÔ</t>
      </text>
    </comment>
  </commentList>
</comments>
</file>

<file path=xl/sharedStrings.xml><?xml version="1.0" encoding="utf-8"?>
<sst xmlns="http://schemas.openxmlformats.org/spreadsheetml/2006/main" count="590" uniqueCount="64">
  <si>
    <t>x1</t>
  </si>
  <si>
    <t>x2</t>
  </si>
  <si>
    <t>bi</t>
  </si>
  <si>
    <t>Restrições</t>
  </si>
  <si>
    <t>Função objetivo</t>
  </si>
  <si>
    <t>C1</t>
  </si>
  <si>
    <t>C2</t>
  </si>
  <si>
    <t>Coeficientes</t>
  </si>
  <si>
    <t>Z</t>
  </si>
  <si>
    <t>n=</t>
  </si>
  <si>
    <t>m=</t>
  </si>
  <si>
    <t>Quadro 0</t>
  </si>
  <si>
    <t>Base</t>
  </si>
  <si>
    <t>f1</t>
  </si>
  <si>
    <t>f2</t>
  </si>
  <si>
    <t>razão</t>
  </si>
  <si>
    <t>Zi</t>
  </si>
  <si>
    <t>Ci-Zi</t>
  </si>
  <si>
    <t>Quadro 1</t>
  </si>
  <si>
    <t>L1'=L1/3</t>
  </si>
  <si>
    <t>L2'=-2*l1'+L2</t>
  </si>
  <si>
    <t>Quadro 2</t>
  </si>
  <si>
    <t>L1'=-$F29*l2'+L1</t>
  </si>
  <si>
    <t>L2'=-L2/$F30</t>
  </si>
  <si>
    <t>x3</t>
  </si>
  <si>
    <t>C3</t>
  </si>
  <si>
    <t>f3</t>
  </si>
  <si>
    <t>L1'=-l2'+L1</t>
  </si>
  <si>
    <t>l2'=l2/3</t>
  </si>
  <si>
    <t>L3'=l3-l2'</t>
  </si>
  <si>
    <t>l1'=L1/$f34</t>
  </si>
  <si>
    <t>L2'=-L1'*$f35+L2</t>
  </si>
  <si>
    <r>
      <t>L3'=-L1'*</t>
    </r>
    <r>
      <rPr>
        <u/>
        <sz val="11"/>
        <color theme="1"/>
        <rFont val="Aptos Narrow"/>
        <family val="2"/>
        <scheme val="minor"/>
      </rPr>
      <t>$e36+L3</t>
    </r>
  </si>
  <si>
    <t>L1'=-L3*0,4+L1</t>
  </si>
  <si>
    <t>L2'=-L3'*0,2+L2</t>
  </si>
  <si>
    <t>L3'=L3/1,4</t>
  </si>
  <si>
    <t>L1'=L1</t>
  </si>
  <si>
    <t>desconsiderar</t>
  </si>
  <si>
    <t>L2'=-2*L1'+L2</t>
  </si>
  <si>
    <t>L2'=-L2/2</t>
  </si>
  <si>
    <t>L1'=L1/2</t>
  </si>
  <si>
    <t>L2'=-L1'+L2</t>
  </si>
  <si>
    <t>L1'=-L2'/2+L1</t>
  </si>
  <si>
    <t>L2'=-L2/3</t>
  </si>
  <si>
    <t>L2'=L2</t>
  </si>
  <si>
    <t>L3'=-2*L1'+L3</t>
  </si>
  <si>
    <t>L1'=-L3'+L1</t>
  </si>
  <si>
    <t>L3'=-L3/2</t>
  </si>
  <si>
    <t>L1'=-9*L3'+L1</t>
  </si>
  <si>
    <t>L2'=-3*L3'+L2</t>
  </si>
  <si>
    <t>L3'=L3/5</t>
  </si>
  <si>
    <t>L1'=L1/5</t>
  </si>
  <si>
    <t>L2'=-4*L1'+L2</t>
  </si>
  <si>
    <t>L3'=L3</t>
  </si>
  <si>
    <t>Quadro 3</t>
  </si>
  <si>
    <t>L1'=L3'*0,12+L1</t>
  </si>
  <si>
    <t>L2'=L3'*0,72+l2</t>
  </si>
  <si>
    <t>L3'=L3/0,4</t>
  </si>
  <si>
    <t>desconsiderar aij=0</t>
  </si>
  <si>
    <t>L2'=L2/2</t>
  </si>
  <si>
    <t>não se aplica</t>
  </si>
  <si>
    <t>L3'=L3-L2</t>
  </si>
  <si>
    <t>L1'=L1-L3'</t>
  </si>
  <si>
    <t>L3'=L3/3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</si>
</sst>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0" fontId="3" fillId="0" borderId="0" xfId="0" applyFont="1"/>
    <xf numFmtId="0" fontId="2" fillId="0" borderId="0" xfId="0" applyFont="1" applyAlignment="1">
      <alignment horizontal="right"/>
    </xf>
    <xf numFmtId="0" fontId="0" fillId="2" borderId="1" xfId="0" applyFill="1" applyBorder="1"/>
    <xf numFmtId="0" fontId="2" fillId="0" borderId="1" xfId="0" applyFont="1" applyBorder="1" applyAlignment="1">
      <alignment horizontal="right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layton Silva" id="{2A86A742-CB0C-44F4-9513-DE78BC24F540}" userId="29ef9a7b83f2ddc4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0" dT="2026-08-31T15:31:55.52" personId="{2A86A742-CB0C-44F4-9513-DE78BC24F540}" id="{DDCFB66F-B103-48A7-A33B-65F8F5FBC996}">
    <text>PIVÔ</text>
  </threadedComment>
  <threadedComment ref="E34" dT="2026-08-31T15:42:31.76" personId="{2A86A742-CB0C-44F4-9513-DE78BC24F540}" id="{8BFD9DA2-AD9D-4398-85D0-AC1FAD79C0F5}">
    <text>PIVÔ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8" dT="2026-08-31T12:19:44.52" personId="{2A86A742-CB0C-44F4-9513-DE78BC24F540}" id="{50C8B75A-EA2C-4A83-A911-8CBB835E9869}">
    <text>PIVÔ</text>
  </threadedComment>
  <threadedComment ref="F30" dT="2026-08-31T12:31:07.77" personId="{2A86A742-CB0C-44F4-9513-DE78BC24F540}" id="{32C829DF-6B1F-4502-A1BD-EEF6F0A5CE52}">
    <text>PIVÔ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18" dT="2026-08-31T12:49:49.58" personId="{2A86A742-CB0C-44F4-9513-DE78BC24F540}" id="{6B4D6DB4-AACF-4140-8ECF-6C188D448078}">
    <text>PIVÔ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20" dT="2026-08-31T13:40:46.37" personId="{2A86A742-CB0C-44F4-9513-DE78BC24F540}" id="{8BFAED2A-86C2-460B-9B77-3AA202700D5B}">
    <text>PIVÔ</text>
  </threadedComment>
  <threadedComment ref="E35" dT="2026-08-31T13:41:01.96" personId="{2A86A742-CB0C-44F4-9513-DE78BC24F540}" id="{F159456C-31D5-40A8-9590-503800056732}">
    <text>PIVÔ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34" dT="2026-08-31T14:30:15.41" personId="{2A86A742-CB0C-44F4-9513-DE78BC24F540}" id="{6A26EACF-15BF-42BA-983E-99C591B01B25}">
    <text>PIVÔ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4623C-B205-4531-A4DD-DC711BDBFFCE}">
  <dimension ref="A3:M48"/>
  <sheetViews>
    <sheetView topLeftCell="A7" workbookViewId="0">
      <selection activeCell="D7" sqref="D7"/>
    </sheetView>
  </sheetViews>
  <sheetFormatPr defaultRowHeight="14.4" x14ac:dyDescent="0.3"/>
  <cols>
    <col min="1" max="1" width="25.88671875" customWidth="1"/>
    <col min="3" max="3" width="6.109375" customWidth="1"/>
    <col min="4" max="4" width="8" customWidth="1"/>
  </cols>
  <sheetData>
    <row r="3" spans="1:6" x14ac:dyDescent="0.3">
      <c r="B3" s="4" t="s">
        <v>0</v>
      </c>
      <c r="C3" s="4" t="s">
        <v>1</v>
      </c>
      <c r="D3" s="4"/>
      <c r="E3" s="4" t="s">
        <v>2</v>
      </c>
    </row>
    <row r="4" spans="1:6" x14ac:dyDescent="0.3">
      <c r="A4" s="1" t="s">
        <v>3</v>
      </c>
      <c r="B4" s="5">
        <v>3</v>
      </c>
      <c r="C4" s="5">
        <v>2</v>
      </c>
      <c r="D4" s="5">
        <f>SUMPRODUCT(B4:C4,B7:C7)</f>
        <v>30</v>
      </c>
      <c r="E4" s="5">
        <v>30</v>
      </c>
    </row>
    <row r="5" spans="1:6" x14ac:dyDescent="0.3">
      <c r="B5" s="5">
        <v>2</v>
      </c>
      <c r="C5" s="5">
        <v>3</v>
      </c>
      <c r="D5" s="5">
        <f>SUMPRODUCT(B5:C5,B7:C7)</f>
        <v>30</v>
      </c>
      <c r="E5" s="5">
        <v>30</v>
      </c>
    </row>
    <row r="7" spans="1:6" x14ac:dyDescent="0.3">
      <c r="A7" s="1" t="s">
        <v>4</v>
      </c>
      <c r="B7" s="5">
        <v>6</v>
      </c>
      <c r="C7" s="5">
        <v>6</v>
      </c>
    </row>
    <row r="9" spans="1:6" x14ac:dyDescent="0.3">
      <c r="B9" s="4" t="s">
        <v>5</v>
      </c>
      <c r="C9" s="4" t="s">
        <v>6</v>
      </c>
    </row>
    <row r="10" spans="1:6" x14ac:dyDescent="0.3">
      <c r="A10" s="1" t="s">
        <v>7</v>
      </c>
      <c r="B10" s="5">
        <v>8</v>
      </c>
      <c r="C10" s="5">
        <v>6</v>
      </c>
      <c r="E10" s="6" t="s">
        <v>8</v>
      </c>
      <c r="F10" s="5">
        <f>SUMPRODUCT(B10:C10,B7:C7)</f>
        <v>84</v>
      </c>
    </row>
    <row r="13" spans="1:6" x14ac:dyDescent="0.3">
      <c r="B13" s="3" t="s">
        <v>9</v>
      </c>
      <c r="C13">
        <v>2</v>
      </c>
    </row>
    <row r="14" spans="1:6" x14ac:dyDescent="0.3">
      <c r="B14" s="3" t="s">
        <v>10</v>
      </c>
      <c r="C14">
        <v>2</v>
      </c>
    </row>
    <row r="16" spans="1:6" x14ac:dyDescent="0.3">
      <c r="A16" s="1" t="s">
        <v>11</v>
      </c>
    </row>
    <row r="17" spans="1:13" x14ac:dyDescent="0.3">
      <c r="B17" s="4" t="s">
        <v>12</v>
      </c>
      <c r="E17" s="4" t="s">
        <v>0</v>
      </c>
      <c r="F17" s="4" t="s">
        <v>1</v>
      </c>
      <c r="G17" s="4" t="s">
        <v>13</v>
      </c>
      <c r="H17" s="4" t="s">
        <v>14</v>
      </c>
      <c r="I17" s="4" t="s">
        <v>2</v>
      </c>
      <c r="K17" s="4" t="s">
        <v>15</v>
      </c>
    </row>
    <row r="18" spans="1:13" x14ac:dyDescent="0.3">
      <c r="B18" s="9" t="s">
        <v>13</v>
      </c>
      <c r="C18" s="7" t="s">
        <v>5</v>
      </c>
      <c r="D18" s="5">
        <v>0</v>
      </c>
      <c r="E18" s="8">
        <v>3</v>
      </c>
      <c r="F18" s="5">
        <v>2</v>
      </c>
      <c r="G18" s="5">
        <v>1</v>
      </c>
      <c r="H18" s="5">
        <v>0</v>
      </c>
      <c r="I18" s="5">
        <v>30</v>
      </c>
      <c r="K18" s="5">
        <f>I18/E18</f>
        <v>10</v>
      </c>
    </row>
    <row r="19" spans="1:13" x14ac:dyDescent="0.3">
      <c r="B19" s="9" t="s">
        <v>14</v>
      </c>
      <c r="C19" s="7" t="s">
        <v>6</v>
      </c>
      <c r="D19" s="5">
        <v>0</v>
      </c>
      <c r="E19" s="5">
        <v>2</v>
      </c>
      <c r="F19" s="5">
        <v>3</v>
      </c>
      <c r="G19" s="5">
        <v>0</v>
      </c>
      <c r="H19" s="5">
        <v>1</v>
      </c>
      <c r="I19" s="5">
        <v>30</v>
      </c>
      <c r="K19" s="5">
        <f>I19/E19</f>
        <v>15</v>
      </c>
    </row>
    <row r="20" spans="1:13" x14ac:dyDescent="0.3">
      <c r="D20" s="7" t="s">
        <v>16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</row>
    <row r="21" spans="1:13" x14ac:dyDescent="0.3">
      <c r="D21" s="2" t="s">
        <v>17</v>
      </c>
      <c r="E21" s="8">
        <v>8</v>
      </c>
      <c r="F21" s="5">
        <v>6</v>
      </c>
      <c r="G21" s="5">
        <v>0</v>
      </c>
      <c r="H21" s="5">
        <v>0</v>
      </c>
    </row>
    <row r="23" spans="1:13" x14ac:dyDescent="0.3">
      <c r="D23" t="s">
        <v>0</v>
      </c>
      <c r="E23">
        <v>0</v>
      </c>
    </row>
    <row r="24" spans="1:13" x14ac:dyDescent="0.3">
      <c r="D24" t="s">
        <v>1</v>
      </c>
      <c r="E24">
        <v>0</v>
      </c>
    </row>
    <row r="25" spans="1:13" x14ac:dyDescent="0.3">
      <c r="D25" t="s">
        <v>13</v>
      </c>
      <c r="E25">
        <v>30</v>
      </c>
    </row>
    <row r="26" spans="1:13" x14ac:dyDescent="0.3">
      <c r="D26" t="s">
        <v>14</v>
      </c>
      <c r="E26">
        <v>30</v>
      </c>
    </row>
    <row r="28" spans="1:13" x14ac:dyDescent="0.3">
      <c r="A28" t="s">
        <v>18</v>
      </c>
      <c r="B28" s="4" t="s">
        <v>12</v>
      </c>
      <c r="E28" s="4" t="s">
        <v>0</v>
      </c>
      <c r="F28" s="4" t="s">
        <v>1</v>
      </c>
      <c r="G28" s="4" t="s">
        <v>13</v>
      </c>
      <c r="H28" s="4" t="s">
        <v>14</v>
      </c>
      <c r="I28" s="4" t="s">
        <v>2</v>
      </c>
      <c r="M28" s="4" t="s">
        <v>15</v>
      </c>
    </row>
    <row r="29" spans="1:13" x14ac:dyDescent="0.3">
      <c r="B29" s="9" t="s">
        <v>0</v>
      </c>
      <c r="C29" s="7" t="s">
        <v>5</v>
      </c>
      <c r="D29" s="5">
        <v>8</v>
      </c>
      <c r="E29" s="5">
        <f>E18/3</f>
        <v>1</v>
      </c>
      <c r="F29" s="5">
        <f t="shared" ref="F29:I29" si="0">F18/3</f>
        <v>0.66666666666666663</v>
      </c>
      <c r="G29" s="5">
        <f t="shared" si="0"/>
        <v>0.33333333333333331</v>
      </c>
      <c r="H29" s="5">
        <f t="shared" si="0"/>
        <v>0</v>
      </c>
      <c r="I29" s="5">
        <f t="shared" si="0"/>
        <v>10</v>
      </c>
      <c r="K29" t="s">
        <v>19</v>
      </c>
      <c r="M29" s="5">
        <f>I29/F29</f>
        <v>15</v>
      </c>
    </row>
    <row r="30" spans="1:13" x14ac:dyDescent="0.3">
      <c r="B30" s="9" t="s">
        <v>14</v>
      </c>
      <c r="C30" s="7" t="s">
        <v>6</v>
      </c>
      <c r="D30" s="5">
        <v>0</v>
      </c>
      <c r="E30" s="5">
        <f>-2*E29+E19</f>
        <v>0</v>
      </c>
      <c r="F30" s="8">
        <f t="shared" ref="F30:I30" si="1">-2*F29+F19</f>
        <v>1.6666666666666667</v>
      </c>
      <c r="G30" s="5">
        <f t="shared" si="1"/>
        <v>-0.66666666666666663</v>
      </c>
      <c r="H30" s="5">
        <f t="shared" si="1"/>
        <v>1</v>
      </c>
      <c r="I30" s="5">
        <f t="shared" si="1"/>
        <v>10</v>
      </c>
      <c r="K30" t="s">
        <v>20</v>
      </c>
      <c r="M30" s="5">
        <f>I30/F30</f>
        <v>6</v>
      </c>
    </row>
    <row r="31" spans="1:13" x14ac:dyDescent="0.3">
      <c r="D31" s="7" t="s">
        <v>16</v>
      </c>
      <c r="E31" s="5">
        <f>$D29*E29+$D30*E30</f>
        <v>8</v>
      </c>
      <c r="F31" s="5">
        <f t="shared" ref="F31:I31" si="2">$D29*F29+$D30*F30</f>
        <v>5.333333333333333</v>
      </c>
      <c r="G31" s="5">
        <f t="shared" si="2"/>
        <v>2.6666666666666665</v>
      </c>
      <c r="H31" s="5">
        <f t="shared" si="2"/>
        <v>0</v>
      </c>
      <c r="I31" s="5">
        <f t="shared" si="2"/>
        <v>80</v>
      </c>
    </row>
    <row r="32" spans="1:13" x14ac:dyDescent="0.3">
      <c r="D32" s="2" t="s">
        <v>17</v>
      </c>
      <c r="E32" s="5">
        <f>8-E31</f>
        <v>0</v>
      </c>
      <c r="F32" s="8">
        <f>6-F31</f>
        <v>0.66666666666666696</v>
      </c>
      <c r="G32" s="5">
        <f>0-G31</f>
        <v>-2.6666666666666665</v>
      </c>
      <c r="H32" s="5">
        <f>0-H31</f>
        <v>0</v>
      </c>
    </row>
    <row r="34" spans="1:11" x14ac:dyDescent="0.3">
      <c r="D34" t="s">
        <v>0</v>
      </c>
      <c r="E34">
        <v>10</v>
      </c>
    </row>
    <row r="35" spans="1:11" x14ac:dyDescent="0.3">
      <c r="D35" t="s">
        <v>1</v>
      </c>
      <c r="E35">
        <v>0</v>
      </c>
    </row>
    <row r="36" spans="1:11" x14ac:dyDescent="0.3">
      <c r="D36" t="s">
        <v>13</v>
      </c>
      <c r="E36">
        <v>0</v>
      </c>
    </row>
    <row r="37" spans="1:11" x14ac:dyDescent="0.3">
      <c r="D37" t="s">
        <v>14</v>
      </c>
      <c r="E37">
        <v>10</v>
      </c>
    </row>
    <row r="39" spans="1:11" x14ac:dyDescent="0.3">
      <c r="A39" t="s">
        <v>21</v>
      </c>
      <c r="B39" s="4" t="s">
        <v>12</v>
      </c>
      <c r="E39" s="4" t="s">
        <v>0</v>
      </c>
      <c r="F39" s="4" t="s">
        <v>1</v>
      </c>
      <c r="G39" s="4" t="s">
        <v>13</v>
      </c>
      <c r="H39" s="4" t="s">
        <v>14</v>
      </c>
      <c r="I39" s="4" t="s">
        <v>2</v>
      </c>
    </row>
    <row r="40" spans="1:11" x14ac:dyDescent="0.3">
      <c r="B40" s="9" t="s">
        <v>0</v>
      </c>
      <c r="C40" s="7" t="s">
        <v>5</v>
      </c>
      <c r="D40" s="5">
        <v>8</v>
      </c>
      <c r="E40" s="5">
        <f>-$F29*E41+E29</f>
        <v>1</v>
      </c>
      <c r="F40" s="5">
        <f t="shared" ref="F40:I40" si="3">-$F29*F41+F29</f>
        <v>0</v>
      </c>
      <c r="G40" s="5">
        <f t="shared" si="3"/>
        <v>0.59999999999999987</v>
      </c>
      <c r="H40" s="5">
        <f t="shared" si="3"/>
        <v>-0.39999999999999997</v>
      </c>
      <c r="I40" s="5">
        <f t="shared" si="3"/>
        <v>6</v>
      </c>
      <c r="K40" t="s">
        <v>22</v>
      </c>
    </row>
    <row r="41" spans="1:11" x14ac:dyDescent="0.3">
      <c r="B41" s="9" t="s">
        <v>1</v>
      </c>
      <c r="C41" s="7" t="s">
        <v>6</v>
      </c>
      <c r="D41" s="5">
        <v>6</v>
      </c>
      <c r="E41" s="5">
        <f>E30/$F30</f>
        <v>0</v>
      </c>
      <c r="F41" s="5">
        <f t="shared" ref="F41:I41" si="4">F30/$F30</f>
        <v>1</v>
      </c>
      <c r="G41" s="5">
        <f t="shared" si="4"/>
        <v>-0.39999999999999997</v>
      </c>
      <c r="H41" s="5">
        <f t="shared" si="4"/>
        <v>0.6</v>
      </c>
      <c r="I41" s="5">
        <f t="shared" si="4"/>
        <v>6</v>
      </c>
      <c r="K41" t="s">
        <v>23</v>
      </c>
    </row>
    <row r="42" spans="1:11" x14ac:dyDescent="0.3">
      <c r="D42" s="7" t="s">
        <v>16</v>
      </c>
      <c r="E42" s="5">
        <f>$D40*E40+$D41*E41</f>
        <v>8</v>
      </c>
      <c r="F42" s="5">
        <f t="shared" ref="F42:I42" si="5">$D40*F40+$D41*F41</f>
        <v>6</v>
      </c>
      <c r="G42" s="5">
        <f t="shared" si="5"/>
        <v>2.399999999999999</v>
      </c>
      <c r="H42" s="5">
        <f t="shared" si="5"/>
        <v>0.39999999999999991</v>
      </c>
      <c r="I42" s="5">
        <f t="shared" si="5"/>
        <v>84</v>
      </c>
    </row>
    <row r="43" spans="1:11" x14ac:dyDescent="0.3">
      <c r="D43" s="7" t="s">
        <v>17</v>
      </c>
      <c r="E43" s="5">
        <f>8-E42</f>
        <v>0</v>
      </c>
      <c r="F43" s="5">
        <f>6-F42</f>
        <v>0</v>
      </c>
      <c r="G43" s="5">
        <f>0-G42</f>
        <v>-2.399999999999999</v>
      </c>
      <c r="H43" s="5">
        <f>0-H42</f>
        <v>-0.39999999999999991</v>
      </c>
    </row>
    <row r="45" spans="1:11" x14ac:dyDescent="0.3">
      <c r="D45" s="1" t="s">
        <v>0</v>
      </c>
      <c r="E45" s="1">
        <v>6</v>
      </c>
    </row>
    <row r="46" spans="1:11" x14ac:dyDescent="0.3">
      <c r="D46" s="1" t="s">
        <v>1</v>
      </c>
      <c r="E46" s="1">
        <v>6</v>
      </c>
    </row>
    <row r="47" spans="1:11" x14ac:dyDescent="0.3">
      <c r="D47" t="s">
        <v>13</v>
      </c>
      <c r="E47">
        <v>0</v>
      </c>
    </row>
    <row r="48" spans="1:11" x14ac:dyDescent="0.3">
      <c r="D48" t="s">
        <v>14</v>
      </c>
      <c r="E48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4884-FE43-4508-8E55-D837F7D3F71B}">
  <dimension ref="A3:O75"/>
  <sheetViews>
    <sheetView topLeftCell="A51" workbookViewId="0">
      <selection activeCell="D9" sqref="D9"/>
    </sheetView>
  </sheetViews>
  <sheetFormatPr defaultRowHeight="14.4" x14ac:dyDescent="0.3"/>
  <cols>
    <col min="1" max="1" width="25.88671875" customWidth="1"/>
    <col min="3" max="4" width="6.109375" customWidth="1"/>
    <col min="5" max="5" width="8" customWidth="1"/>
  </cols>
  <sheetData>
    <row r="3" spans="1:7" x14ac:dyDescent="0.3">
      <c r="B3" s="4" t="s">
        <v>0</v>
      </c>
      <c r="C3" s="4" t="s">
        <v>1</v>
      </c>
      <c r="D3" s="4" t="s">
        <v>24</v>
      </c>
      <c r="E3" s="4"/>
      <c r="F3" s="4" t="s">
        <v>2</v>
      </c>
    </row>
    <row r="4" spans="1:7" x14ac:dyDescent="0.3">
      <c r="A4" s="1" t="s">
        <v>3</v>
      </c>
      <c r="B4" s="5">
        <v>2</v>
      </c>
      <c r="C4" s="5">
        <v>1</v>
      </c>
      <c r="D4" s="5">
        <v>1</v>
      </c>
      <c r="E4" s="5">
        <f>SUMPRODUCT(B4:D4,B8:D8)</f>
        <v>19.990000000000002</v>
      </c>
      <c r="F4" s="5">
        <v>20</v>
      </c>
    </row>
    <row r="5" spans="1:7" x14ac:dyDescent="0.3">
      <c r="B5" s="5">
        <v>1</v>
      </c>
      <c r="C5" s="5">
        <v>3</v>
      </c>
      <c r="D5" s="5">
        <v>1</v>
      </c>
      <c r="E5" s="5">
        <f>SUMPRODUCT(B5:D5,B8:D8)</f>
        <v>29.990000000000002</v>
      </c>
      <c r="F5" s="5">
        <v>30</v>
      </c>
    </row>
    <row r="6" spans="1:7" x14ac:dyDescent="0.3">
      <c r="B6" s="5">
        <v>1</v>
      </c>
      <c r="C6" s="5">
        <v>1</v>
      </c>
      <c r="D6" s="5">
        <v>2</v>
      </c>
      <c r="E6" s="5">
        <f>SUMPRODUCT(B6:D6,B8:D8)</f>
        <v>23.990000000000002</v>
      </c>
      <c r="F6" s="5">
        <v>24</v>
      </c>
    </row>
    <row r="8" spans="1:7" x14ac:dyDescent="0.3">
      <c r="A8" s="1" t="s">
        <v>4</v>
      </c>
      <c r="B8" s="5">
        <v>3.14</v>
      </c>
      <c r="C8" s="5">
        <v>6.57</v>
      </c>
      <c r="D8" s="5">
        <v>7.14</v>
      </c>
    </row>
    <row r="10" spans="1:7" x14ac:dyDescent="0.3">
      <c r="B10" s="4" t="s">
        <v>5</v>
      </c>
      <c r="C10" s="4" t="s">
        <v>6</v>
      </c>
      <c r="D10" s="4" t="s">
        <v>25</v>
      </c>
    </row>
    <row r="11" spans="1:7" x14ac:dyDescent="0.3">
      <c r="A11" s="1" t="s">
        <v>7</v>
      </c>
      <c r="B11" s="5">
        <v>40</v>
      </c>
      <c r="C11" s="5">
        <v>50</v>
      </c>
      <c r="D11" s="5">
        <v>30</v>
      </c>
      <c r="F11" s="6" t="s">
        <v>8</v>
      </c>
      <c r="G11" s="5">
        <f>SUMPRODUCT(B8:D8,B11:D11)</f>
        <v>668.3</v>
      </c>
    </row>
    <row r="14" spans="1:7" x14ac:dyDescent="0.3">
      <c r="B14" s="3" t="s">
        <v>9</v>
      </c>
      <c r="C14">
        <v>2</v>
      </c>
    </row>
    <row r="15" spans="1:7" x14ac:dyDescent="0.3">
      <c r="B15" s="3" t="s">
        <v>10</v>
      </c>
      <c r="C15">
        <v>2</v>
      </c>
    </row>
    <row r="16" spans="1:7" ht="9.6" customHeight="1" x14ac:dyDescent="0.3"/>
    <row r="17" spans="1:13" x14ac:dyDescent="0.3">
      <c r="A17" s="1" t="s">
        <v>11</v>
      </c>
    </row>
    <row r="18" spans="1:13" x14ac:dyDescent="0.3">
      <c r="B18" s="4" t="s">
        <v>12</v>
      </c>
      <c r="E18" s="4" t="s">
        <v>0</v>
      </c>
      <c r="F18" s="4" t="s">
        <v>1</v>
      </c>
      <c r="G18" s="4" t="s">
        <v>24</v>
      </c>
      <c r="H18" s="4" t="s">
        <v>13</v>
      </c>
      <c r="I18" s="4" t="s">
        <v>14</v>
      </c>
      <c r="J18" s="4" t="s">
        <v>26</v>
      </c>
      <c r="K18" s="4" t="s">
        <v>2</v>
      </c>
      <c r="M18" s="4" t="s">
        <v>15</v>
      </c>
    </row>
    <row r="19" spans="1:13" x14ac:dyDescent="0.3">
      <c r="B19" s="9" t="s">
        <v>13</v>
      </c>
      <c r="C19" s="7" t="s">
        <v>5</v>
      </c>
      <c r="D19" s="5">
        <v>0</v>
      </c>
      <c r="E19" s="5">
        <v>2</v>
      </c>
      <c r="F19" s="5">
        <v>1</v>
      </c>
      <c r="G19" s="5">
        <v>1</v>
      </c>
      <c r="H19" s="5">
        <v>1</v>
      </c>
      <c r="I19" s="5">
        <v>0</v>
      </c>
      <c r="J19" s="5">
        <v>0</v>
      </c>
      <c r="K19" s="5">
        <v>20</v>
      </c>
      <c r="M19" s="5">
        <f>K19/F19</f>
        <v>20</v>
      </c>
    </row>
    <row r="20" spans="1:13" x14ac:dyDescent="0.3">
      <c r="B20" s="9" t="s">
        <v>14</v>
      </c>
      <c r="C20" s="7" t="s">
        <v>6</v>
      </c>
      <c r="D20" s="5">
        <v>0</v>
      </c>
      <c r="E20" s="5">
        <v>1</v>
      </c>
      <c r="F20" s="8">
        <v>3</v>
      </c>
      <c r="G20" s="5">
        <v>1</v>
      </c>
      <c r="H20" s="5">
        <v>0</v>
      </c>
      <c r="I20" s="5">
        <v>1</v>
      </c>
      <c r="J20" s="5">
        <v>0</v>
      </c>
      <c r="K20" s="5">
        <v>30</v>
      </c>
      <c r="M20" s="5">
        <f>K20/F20</f>
        <v>10</v>
      </c>
    </row>
    <row r="21" spans="1:13" x14ac:dyDescent="0.3">
      <c r="B21" s="9" t="s">
        <v>26</v>
      </c>
      <c r="C21" s="7" t="s">
        <v>25</v>
      </c>
      <c r="D21" s="5">
        <v>0</v>
      </c>
      <c r="E21" s="5">
        <v>1</v>
      </c>
      <c r="F21" s="5">
        <v>1</v>
      </c>
      <c r="G21" s="5">
        <v>2</v>
      </c>
      <c r="H21" s="5">
        <v>0</v>
      </c>
      <c r="I21" s="5">
        <v>0</v>
      </c>
      <c r="J21" s="5">
        <v>1</v>
      </c>
      <c r="K21" s="5">
        <v>24</v>
      </c>
      <c r="M21" s="5">
        <f>K21/F21</f>
        <v>24</v>
      </c>
    </row>
    <row r="22" spans="1:13" x14ac:dyDescent="0.3">
      <c r="D22" s="7" t="s">
        <v>16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</row>
    <row r="23" spans="1:13" x14ac:dyDescent="0.3">
      <c r="D23" s="2" t="s">
        <v>17</v>
      </c>
      <c r="E23" s="5">
        <v>40</v>
      </c>
      <c r="F23" s="8">
        <v>50</v>
      </c>
      <c r="G23" s="5">
        <v>30</v>
      </c>
      <c r="H23" s="5">
        <v>0</v>
      </c>
      <c r="I23" s="5">
        <v>0</v>
      </c>
      <c r="J23" s="5">
        <v>0</v>
      </c>
    </row>
    <row r="25" spans="1:13" x14ac:dyDescent="0.3">
      <c r="E25" t="s">
        <v>0</v>
      </c>
      <c r="F25">
        <v>0</v>
      </c>
    </row>
    <row r="26" spans="1:13" x14ac:dyDescent="0.3">
      <c r="E26" t="s">
        <v>1</v>
      </c>
      <c r="F26">
        <v>0</v>
      </c>
    </row>
    <row r="27" spans="1:13" x14ac:dyDescent="0.3">
      <c r="E27" t="s">
        <v>24</v>
      </c>
      <c r="F27">
        <v>0</v>
      </c>
    </row>
    <row r="28" spans="1:13" x14ac:dyDescent="0.3">
      <c r="E28" t="s">
        <v>13</v>
      </c>
      <c r="F28">
        <v>20</v>
      </c>
    </row>
    <row r="29" spans="1:13" x14ac:dyDescent="0.3">
      <c r="E29" t="s">
        <v>14</v>
      </c>
      <c r="F29">
        <v>30</v>
      </c>
    </row>
    <row r="30" spans="1:13" x14ac:dyDescent="0.3">
      <c r="E30" t="s">
        <v>26</v>
      </c>
      <c r="F30">
        <v>24</v>
      </c>
    </row>
    <row r="32" spans="1:13" x14ac:dyDescent="0.3">
      <c r="A32" s="1" t="s">
        <v>18</v>
      </c>
    </row>
    <row r="33" spans="1:15" x14ac:dyDescent="0.3">
      <c r="B33" s="4" t="s">
        <v>12</v>
      </c>
      <c r="E33" s="4" t="s">
        <v>0</v>
      </c>
      <c r="F33" s="4" t="s">
        <v>1</v>
      </c>
      <c r="G33" s="4" t="s">
        <v>24</v>
      </c>
      <c r="H33" s="4" t="s">
        <v>13</v>
      </c>
      <c r="I33" s="4" t="s">
        <v>14</v>
      </c>
      <c r="J33" s="4" t="s">
        <v>26</v>
      </c>
      <c r="K33" s="4" t="s">
        <v>2</v>
      </c>
      <c r="O33" s="4" t="s">
        <v>15</v>
      </c>
    </row>
    <row r="34" spans="1:15" x14ac:dyDescent="0.3">
      <c r="B34" s="9" t="s">
        <v>13</v>
      </c>
      <c r="C34" s="7" t="s">
        <v>5</v>
      </c>
      <c r="D34" s="5">
        <v>0</v>
      </c>
      <c r="E34" s="8">
        <f>-E35+E19</f>
        <v>1.6666666666666667</v>
      </c>
      <c r="F34" s="5">
        <f t="shared" ref="F34:K34" si="0">-F35+F19</f>
        <v>0</v>
      </c>
      <c r="G34" s="5">
        <f t="shared" si="0"/>
        <v>0.66666666666666674</v>
      </c>
      <c r="H34" s="5">
        <f t="shared" si="0"/>
        <v>1</v>
      </c>
      <c r="I34" s="5">
        <f t="shared" si="0"/>
        <v>-0.33333333333333331</v>
      </c>
      <c r="J34" s="5">
        <f t="shared" si="0"/>
        <v>0</v>
      </c>
      <c r="K34" s="5">
        <f t="shared" si="0"/>
        <v>10</v>
      </c>
      <c r="M34" t="s">
        <v>27</v>
      </c>
      <c r="O34" s="5">
        <f>K34/E34</f>
        <v>6</v>
      </c>
    </row>
    <row r="35" spans="1:15" x14ac:dyDescent="0.3">
      <c r="B35" s="9" t="s">
        <v>1</v>
      </c>
      <c r="C35" s="7" t="s">
        <v>6</v>
      </c>
      <c r="D35" s="5">
        <v>50</v>
      </c>
      <c r="E35" s="5">
        <f>E20/3</f>
        <v>0.33333333333333331</v>
      </c>
      <c r="F35" s="5">
        <f t="shared" ref="F35:K35" si="1">F20/3</f>
        <v>1</v>
      </c>
      <c r="G35" s="5">
        <f t="shared" si="1"/>
        <v>0.33333333333333331</v>
      </c>
      <c r="H35" s="5">
        <f t="shared" si="1"/>
        <v>0</v>
      </c>
      <c r="I35" s="5">
        <f t="shared" si="1"/>
        <v>0.33333333333333331</v>
      </c>
      <c r="J35" s="5">
        <f t="shared" si="1"/>
        <v>0</v>
      </c>
      <c r="K35" s="5">
        <f t="shared" si="1"/>
        <v>10</v>
      </c>
      <c r="M35" t="s">
        <v>28</v>
      </c>
      <c r="O35" s="5">
        <f>K35/E35</f>
        <v>30</v>
      </c>
    </row>
    <row r="36" spans="1:15" x14ac:dyDescent="0.3">
      <c r="B36" s="9" t="s">
        <v>26</v>
      </c>
      <c r="C36" s="7" t="s">
        <v>25</v>
      </c>
      <c r="D36" s="5">
        <v>0</v>
      </c>
      <c r="E36" s="5">
        <f>E21-E35</f>
        <v>0.66666666666666674</v>
      </c>
      <c r="F36" s="5">
        <f t="shared" ref="F36:K36" si="2">F21-F35</f>
        <v>0</v>
      </c>
      <c r="G36" s="5">
        <f t="shared" si="2"/>
        <v>1.6666666666666667</v>
      </c>
      <c r="H36" s="5">
        <f t="shared" si="2"/>
        <v>0</v>
      </c>
      <c r="I36" s="5">
        <f t="shared" si="2"/>
        <v>-0.33333333333333331</v>
      </c>
      <c r="J36" s="5">
        <f t="shared" si="2"/>
        <v>1</v>
      </c>
      <c r="K36" s="5">
        <f t="shared" si="2"/>
        <v>14</v>
      </c>
      <c r="M36" t="s">
        <v>29</v>
      </c>
      <c r="O36" s="5">
        <f>K36/E36</f>
        <v>20.999999999999996</v>
      </c>
    </row>
    <row r="37" spans="1:15" x14ac:dyDescent="0.3">
      <c r="D37" s="7" t="s">
        <v>16</v>
      </c>
      <c r="E37" s="5">
        <f>$D34*E34+$D35*E35+$D36*E36</f>
        <v>16.666666666666664</v>
      </c>
      <c r="F37" s="5">
        <f t="shared" ref="F37:K37" si="3">$D34*F34+$D35*F35+$D36*F36</f>
        <v>50</v>
      </c>
      <c r="G37" s="5">
        <f t="shared" si="3"/>
        <v>16.666666666666664</v>
      </c>
      <c r="H37" s="5">
        <f t="shared" si="3"/>
        <v>0</v>
      </c>
      <c r="I37" s="5">
        <f t="shared" si="3"/>
        <v>16.666666666666664</v>
      </c>
      <c r="J37" s="5">
        <f t="shared" si="3"/>
        <v>0</v>
      </c>
      <c r="K37" s="5">
        <f t="shared" si="3"/>
        <v>500</v>
      </c>
    </row>
    <row r="38" spans="1:15" x14ac:dyDescent="0.3">
      <c r="D38" s="2" t="s">
        <v>17</v>
      </c>
      <c r="E38" s="8">
        <f>40-E37</f>
        <v>23.333333333333336</v>
      </c>
      <c r="F38" s="5">
        <f>50-F37</f>
        <v>0</v>
      </c>
      <c r="G38" s="5">
        <f>30-G37</f>
        <v>13.333333333333336</v>
      </c>
      <c r="H38" s="5">
        <f>0-H37</f>
        <v>0</v>
      </c>
      <c r="I38" s="5">
        <f>0-I37</f>
        <v>-16.666666666666664</v>
      </c>
      <c r="J38" s="5">
        <f>0-J37</f>
        <v>0</v>
      </c>
    </row>
    <row r="40" spans="1:15" x14ac:dyDescent="0.3">
      <c r="E40" t="s">
        <v>0</v>
      </c>
      <c r="F40">
        <v>0</v>
      </c>
    </row>
    <row r="41" spans="1:15" x14ac:dyDescent="0.3">
      <c r="E41" t="s">
        <v>1</v>
      </c>
      <c r="F41">
        <v>10</v>
      </c>
    </row>
    <row r="42" spans="1:15" x14ac:dyDescent="0.3">
      <c r="E42" t="s">
        <v>24</v>
      </c>
      <c r="F42">
        <v>0</v>
      </c>
    </row>
    <row r="43" spans="1:15" x14ac:dyDescent="0.3">
      <c r="E43" t="s">
        <v>13</v>
      </c>
      <c r="F43">
        <v>10</v>
      </c>
    </row>
    <row r="44" spans="1:15" x14ac:dyDescent="0.3">
      <c r="E44" t="s">
        <v>14</v>
      </c>
      <c r="F44">
        <v>0</v>
      </c>
    </row>
    <row r="45" spans="1:15" x14ac:dyDescent="0.3">
      <c r="E45" t="s">
        <v>26</v>
      </c>
      <c r="F45">
        <v>14</v>
      </c>
    </row>
    <row r="47" spans="1:15" x14ac:dyDescent="0.3">
      <c r="A47" s="1" t="s">
        <v>21</v>
      </c>
    </row>
    <row r="48" spans="1:15" x14ac:dyDescent="0.3">
      <c r="B48" s="4" t="s">
        <v>12</v>
      </c>
      <c r="E48" s="4" t="s">
        <v>0</v>
      </c>
      <c r="F48" s="4" t="s">
        <v>1</v>
      </c>
      <c r="G48" s="4" t="s">
        <v>24</v>
      </c>
      <c r="H48" s="4" t="s">
        <v>13</v>
      </c>
      <c r="I48" s="4" t="s">
        <v>14</v>
      </c>
      <c r="J48" s="4" t="s">
        <v>26</v>
      </c>
      <c r="K48" s="4" t="s">
        <v>2</v>
      </c>
      <c r="O48" s="4" t="s">
        <v>15</v>
      </c>
    </row>
    <row r="49" spans="1:15" x14ac:dyDescent="0.3">
      <c r="B49" s="9" t="s">
        <v>0</v>
      </c>
      <c r="C49" s="7" t="s">
        <v>5</v>
      </c>
      <c r="D49" s="5">
        <v>40</v>
      </c>
      <c r="E49" s="5">
        <f>E34/$E34</f>
        <v>1</v>
      </c>
      <c r="F49" s="5">
        <f t="shared" ref="F49:K49" si="4">F34/$E34</f>
        <v>0</v>
      </c>
      <c r="G49" s="5">
        <f t="shared" si="4"/>
        <v>0.4</v>
      </c>
      <c r="H49" s="5">
        <f t="shared" si="4"/>
        <v>0.6</v>
      </c>
      <c r="I49" s="5">
        <f t="shared" si="4"/>
        <v>-0.19999999999999998</v>
      </c>
      <c r="J49" s="5">
        <f t="shared" si="4"/>
        <v>0</v>
      </c>
      <c r="K49" s="5">
        <f t="shared" si="4"/>
        <v>6</v>
      </c>
      <c r="M49" t="s">
        <v>30</v>
      </c>
      <c r="O49" s="5">
        <f>K49/G49</f>
        <v>15</v>
      </c>
    </row>
    <row r="50" spans="1:15" x14ac:dyDescent="0.3">
      <c r="B50" s="9" t="s">
        <v>1</v>
      </c>
      <c r="C50" s="7" t="s">
        <v>6</v>
      </c>
      <c r="D50" s="5">
        <v>50</v>
      </c>
      <c r="E50" s="5">
        <f t="shared" ref="E50:K50" si="5">-E49*$E35+E35</f>
        <v>0</v>
      </c>
      <c r="F50" s="5">
        <f t="shared" si="5"/>
        <v>1</v>
      </c>
      <c r="G50" s="5">
        <f t="shared" si="5"/>
        <v>0.19999999999999998</v>
      </c>
      <c r="H50" s="5">
        <f t="shared" si="5"/>
        <v>-0.19999999999999998</v>
      </c>
      <c r="I50" s="5">
        <f t="shared" si="5"/>
        <v>0.39999999999999997</v>
      </c>
      <c r="J50" s="5">
        <f t="shared" si="5"/>
        <v>0</v>
      </c>
      <c r="K50" s="5">
        <f t="shared" si="5"/>
        <v>8</v>
      </c>
      <c r="M50" t="s">
        <v>31</v>
      </c>
      <c r="O50" s="5">
        <f>K50/G50</f>
        <v>40</v>
      </c>
    </row>
    <row r="51" spans="1:15" x14ac:dyDescent="0.3">
      <c r="B51" s="9" t="s">
        <v>26</v>
      </c>
      <c r="C51" s="7" t="s">
        <v>25</v>
      </c>
      <c r="D51" s="5">
        <v>0</v>
      </c>
      <c r="E51" s="5">
        <f>-E49*$E36+E36</f>
        <v>0</v>
      </c>
      <c r="F51" s="5">
        <f t="shared" ref="F51:K51" si="6">-F49*$E36+F36</f>
        <v>0</v>
      </c>
      <c r="G51" s="8">
        <f t="shared" si="6"/>
        <v>1.4</v>
      </c>
      <c r="H51" s="5">
        <f t="shared" si="6"/>
        <v>-0.4</v>
      </c>
      <c r="I51" s="5">
        <f t="shared" si="6"/>
        <v>-0.19999999999999998</v>
      </c>
      <c r="J51" s="5">
        <f t="shared" si="6"/>
        <v>1</v>
      </c>
      <c r="K51" s="5">
        <f t="shared" si="6"/>
        <v>10</v>
      </c>
      <c r="M51" t="s">
        <v>32</v>
      </c>
      <c r="O51" s="5">
        <f>K51/G51</f>
        <v>7.1428571428571432</v>
      </c>
    </row>
    <row r="52" spans="1:15" x14ac:dyDescent="0.3">
      <c r="D52" s="7" t="s">
        <v>16</v>
      </c>
      <c r="E52" s="5">
        <f>$D49*E49+$D50*E50+$D51*E51</f>
        <v>40</v>
      </c>
      <c r="F52" s="5">
        <f t="shared" ref="F52:K52" si="7">$D49*F49+$D50*F50+$D51*F51</f>
        <v>50</v>
      </c>
      <c r="G52" s="5">
        <f t="shared" si="7"/>
        <v>26</v>
      </c>
      <c r="H52" s="5">
        <f t="shared" si="7"/>
        <v>14</v>
      </c>
      <c r="I52" s="5">
        <f t="shared" si="7"/>
        <v>12</v>
      </c>
      <c r="J52" s="5">
        <f t="shared" si="7"/>
        <v>0</v>
      </c>
      <c r="K52" s="5">
        <f t="shared" si="7"/>
        <v>640</v>
      </c>
    </row>
    <row r="53" spans="1:15" x14ac:dyDescent="0.3">
      <c r="D53" s="2" t="s">
        <v>17</v>
      </c>
      <c r="E53" s="5">
        <f>40-E52</f>
        <v>0</v>
      </c>
      <c r="F53" s="5">
        <f>50-F52</f>
        <v>0</v>
      </c>
      <c r="G53" s="8">
        <f>30-G52</f>
        <v>4</v>
      </c>
      <c r="H53" s="5">
        <f>0-H52</f>
        <v>-14</v>
      </c>
      <c r="I53" s="5">
        <f>0-I52</f>
        <v>-12</v>
      </c>
      <c r="J53" s="5">
        <f>0-J52</f>
        <v>0</v>
      </c>
    </row>
    <row r="55" spans="1:15" x14ac:dyDescent="0.3">
      <c r="E55" t="s">
        <v>0</v>
      </c>
      <c r="F55">
        <v>6</v>
      </c>
    </row>
    <row r="56" spans="1:15" x14ac:dyDescent="0.3">
      <c r="E56" t="s">
        <v>1</v>
      </c>
      <c r="F56">
        <v>8</v>
      </c>
    </row>
    <row r="57" spans="1:15" x14ac:dyDescent="0.3">
      <c r="E57" t="s">
        <v>24</v>
      </c>
      <c r="F57">
        <v>0</v>
      </c>
    </row>
    <row r="58" spans="1:15" x14ac:dyDescent="0.3">
      <c r="E58" t="s">
        <v>13</v>
      </c>
      <c r="F58">
        <v>0</v>
      </c>
    </row>
    <row r="59" spans="1:15" x14ac:dyDescent="0.3">
      <c r="E59" t="s">
        <v>14</v>
      </c>
      <c r="F59">
        <v>0</v>
      </c>
    </row>
    <row r="60" spans="1:15" x14ac:dyDescent="0.3">
      <c r="E60" t="s">
        <v>26</v>
      </c>
      <c r="F60">
        <v>10</v>
      </c>
    </row>
    <row r="62" spans="1:15" x14ac:dyDescent="0.3">
      <c r="A62" s="1" t="s">
        <v>21</v>
      </c>
    </row>
    <row r="63" spans="1:15" x14ac:dyDescent="0.3">
      <c r="B63" s="4" t="s">
        <v>12</v>
      </c>
      <c r="E63" s="4" t="s">
        <v>0</v>
      </c>
      <c r="F63" s="4" t="s">
        <v>1</v>
      </c>
      <c r="G63" s="4" t="s">
        <v>24</v>
      </c>
      <c r="H63" s="4" t="s">
        <v>13</v>
      </c>
      <c r="I63" s="4" t="s">
        <v>14</v>
      </c>
      <c r="J63" s="4" t="s">
        <v>26</v>
      </c>
      <c r="K63" s="4" t="s">
        <v>2</v>
      </c>
    </row>
    <row r="64" spans="1:15" x14ac:dyDescent="0.3">
      <c r="B64" s="9" t="s">
        <v>0</v>
      </c>
      <c r="C64" s="7" t="s">
        <v>5</v>
      </c>
      <c r="D64" s="5">
        <v>40</v>
      </c>
      <c r="E64" s="5">
        <f>-E66*0.4+E49</f>
        <v>1</v>
      </c>
      <c r="F64" s="5">
        <f t="shared" ref="F64:K64" si="8">-F66*0.4+F49</f>
        <v>0</v>
      </c>
      <c r="G64" s="5">
        <f t="shared" si="8"/>
        <v>0</v>
      </c>
      <c r="H64" s="5">
        <f t="shared" si="8"/>
        <v>0.7142857142857143</v>
      </c>
      <c r="I64" s="5">
        <f t="shared" si="8"/>
        <v>-0.14285714285714285</v>
      </c>
      <c r="J64" s="5">
        <f t="shared" si="8"/>
        <v>-0.28571428571428575</v>
      </c>
      <c r="K64" s="5">
        <f t="shared" si="8"/>
        <v>3.1428571428571423</v>
      </c>
      <c r="M64" t="s">
        <v>33</v>
      </c>
    </row>
    <row r="65" spans="2:13" x14ac:dyDescent="0.3">
      <c r="B65" s="9" t="s">
        <v>1</v>
      </c>
      <c r="C65" s="7" t="s">
        <v>6</v>
      </c>
      <c r="D65" s="5">
        <v>50</v>
      </c>
      <c r="E65" s="5">
        <f>-E66*0.2+E50</f>
        <v>0</v>
      </c>
      <c r="F65" s="5">
        <f t="shared" ref="F65:K65" si="9">-F66*0.2+F50</f>
        <v>1</v>
      </c>
      <c r="G65" s="5">
        <f t="shared" si="9"/>
        <v>0</v>
      </c>
      <c r="H65" s="5">
        <f t="shared" si="9"/>
        <v>-0.14285714285714282</v>
      </c>
      <c r="I65" s="5">
        <f t="shared" si="9"/>
        <v>0.42857142857142855</v>
      </c>
      <c r="J65" s="5">
        <f t="shared" si="9"/>
        <v>-0.14285714285714288</v>
      </c>
      <c r="K65" s="5">
        <f t="shared" si="9"/>
        <v>6.5714285714285712</v>
      </c>
      <c r="M65" t="s">
        <v>34</v>
      </c>
    </row>
    <row r="66" spans="2:13" x14ac:dyDescent="0.3">
      <c r="B66" s="9" t="s">
        <v>24</v>
      </c>
      <c r="C66" s="7" t="s">
        <v>25</v>
      </c>
      <c r="D66" s="5">
        <v>30</v>
      </c>
      <c r="E66" s="5">
        <f>E51/1.4</f>
        <v>0</v>
      </c>
      <c r="F66" s="5">
        <f t="shared" ref="F66:K66" si="10">F51/1.4</f>
        <v>0</v>
      </c>
      <c r="G66" s="5">
        <f t="shared" si="10"/>
        <v>1</v>
      </c>
      <c r="H66" s="5">
        <f t="shared" si="10"/>
        <v>-0.28571428571428575</v>
      </c>
      <c r="I66" s="5">
        <f t="shared" si="10"/>
        <v>-0.14285714285714285</v>
      </c>
      <c r="J66" s="5">
        <f t="shared" si="10"/>
        <v>0.7142857142857143</v>
      </c>
      <c r="K66" s="5">
        <f t="shared" si="10"/>
        <v>7.1428571428571432</v>
      </c>
      <c r="M66" t="s">
        <v>35</v>
      </c>
    </row>
    <row r="67" spans="2:13" x14ac:dyDescent="0.3">
      <c r="D67" s="7" t="s">
        <v>16</v>
      </c>
      <c r="E67" s="5">
        <f>$D64*E64+$D65*E65+$D66*E66</f>
        <v>40</v>
      </c>
      <c r="F67" s="5">
        <f t="shared" ref="F67:K67" si="11">$D64*F64+$D65*F65+$D66*F66</f>
        <v>50</v>
      </c>
      <c r="G67" s="5">
        <f t="shared" si="11"/>
        <v>30</v>
      </c>
      <c r="H67" s="5">
        <f t="shared" si="11"/>
        <v>12.857142857142858</v>
      </c>
      <c r="I67" s="5">
        <f t="shared" si="11"/>
        <v>11.428571428571427</v>
      </c>
      <c r="J67" s="5">
        <f t="shared" si="11"/>
        <v>2.8571428571428541</v>
      </c>
      <c r="K67" s="5">
        <f t="shared" si="11"/>
        <v>668.57142857142856</v>
      </c>
    </row>
    <row r="68" spans="2:13" x14ac:dyDescent="0.3">
      <c r="D68" s="2" t="s">
        <v>17</v>
      </c>
      <c r="E68" s="5">
        <f>40-E67</f>
        <v>0</v>
      </c>
      <c r="F68" s="5">
        <f>50-F67</f>
        <v>0</v>
      </c>
      <c r="G68" s="5">
        <f>30-G67</f>
        <v>0</v>
      </c>
      <c r="H68" s="5">
        <f>0-H67</f>
        <v>-12.857142857142858</v>
      </c>
      <c r="I68" s="5">
        <f>0-I67</f>
        <v>-11.428571428571427</v>
      </c>
      <c r="J68" s="5">
        <f>0-J67</f>
        <v>-2.8571428571428541</v>
      </c>
    </row>
    <row r="70" spans="2:13" x14ac:dyDescent="0.3">
      <c r="E70" s="1" t="s">
        <v>0</v>
      </c>
      <c r="F70" s="1">
        <v>3.14</v>
      </c>
    </row>
    <row r="71" spans="2:13" x14ac:dyDescent="0.3">
      <c r="E71" s="1" t="s">
        <v>1</v>
      </c>
      <c r="F71" s="1">
        <v>6.57</v>
      </c>
    </row>
    <row r="72" spans="2:13" x14ac:dyDescent="0.3">
      <c r="E72" s="1" t="s">
        <v>24</v>
      </c>
      <c r="F72" s="1">
        <v>7.14</v>
      </c>
    </row>
    <row r="73" spans="2:13" x14ac:dyDescent="0.3">
      <c r="E73" t="s">
        <v>13</v>
      </c>
      <c r="F73">
        <v>0</v>
      </c>
    </row>
    <row r="74" spans="2:13" x14ac:dyDescent="0.3">
      <c r="E74" t="s">
        <v>14</v>
      </c>
      <c r="F74">
        <v>0</v>
      </c>
    </row>
    <row r="75" spans="2:13" x14ac:dyDescent="0.3">
      <c r="E75" t="s">
        <v>26</v>
      </c>
      <c r="F75"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1D0C-7CAB-4F89-9372-425FBBEA0EED}">
  <dimension ref="A3:M48"/>
  <sheetViews>
    <sheetView workbookViewId="0">
      <selection activeCell="H22" sqref="H22"/>
    </sheetView>
  </sheetViews>
  <sheetFormatPr defaultRowHeight="14.4" x14ac:dyDescent="0.3"/>
  <cols>
    <col min="1" max="1" width="25.88671875" customWidth="1"/>
    <col min="3" max="3" width="6.109375" customWidth="1"/>
    <col min="4" max="4" width="8" customWidth="1"/>
  </cols>
  <sheetData>
    <row r="3" spans="1:6" x14ac:dyDescent="0.3">
      <c r="B3" s="4" t="s">
        <v>0</v>
      </c>
      <c r="C3" s="4" t="s">
        <v>1</v>
      </c>
      <c r="D3" s="4"/>
      <c r="E3" s="4" t="s">
        <v>2</v>
      </c>
    </row>
    <row r="4" spans="1:6" x14ac:dyDescent="0.3">
      <c r="A4" s="1" t="s">
        <v>3</v>
      </c>
      <c r="B4" s="5">
        <v>1</v>
      </c>
      <c r="C4" s="5">
        <v>0</v>
      </c>
      <c r="D4" s="5">
        <f>SUMPRODUCT(B4:C4,B7:C7)</f>
        <v>30</v>
      </c>
      <c r="E4" s="5">
        <v>30</v>
      </c>
    </row>
    <row r="5" spans="1:6" x14ac:dyDescent="0.3">
      <c r="B5" s="5">
        <v>2</v>
      </c>
      <c r="C5" s="5">
        <v>2</v>
      </c>
      <c r="D5" s="5">
        <f>SUMPRODUCT(B5:C5,B7:C7)</f>
        <v>60</v>
      </c>
      <c r="E5" s="5">
        <v>80</v>
      </c>
    </row>
    <row r="7" spans="1:6" x14ac:dyDescent="0.3">
      <c r="A7" s="1" t="s">
        <v>4</v>
      </c>
      <c r="B7" s="5">
        <v>30</v>
      </c>
      <c r="C7" s="5">
        <v>0</v>
      </c>
    </row>
    <row r="9" spans="1:6" x14ac:dyDescent="0.3">
      <c r="B9" s="4" t="s">
        <v>5</v>
      </c>
      <c r="C9" s="4" t="s">
        <v>6</v>
      </c>
    </row>
    <row r="10" spans="1:6" x14ac:dyDescent="0.3">
      <c r="A10" s="1" t="s">
        <v>7</v>
      </c>
      <c r="B10" s="5">
        <v>150</v>
      </c>
      <c r="C10" s="5">
        <v>50</v>
      </c>
      <c r="E10" s="6" t="s">
        <v>8</v>
      </c>
      <c r="F10" s="5">
        <f>SUMPRODUCT(B10:C10,B7:C7)</f>
        <v>4500</v>
      </c>
    </row>
    <row r="13" spans="1:6" x14ac:dyDescent="0.3">
      <c r="B13" s="3" t="s">
        <v>9</v>
      </c>
      <c r="C13">
        <v>2</v>
      </c>
    </row>
    <row r="14" spans="1:6" x14ac:dyDescent="0.3">
      <c r="B14" s="3" t="s">
        <v>10</v>
      </c>
      <c r="C14">
        <v>2</v>
      </c>
    </row>
    <row r="16" spans="1:6" x14ac:dyDescent="0.3">
      <c r="A16" s="1" t="s">
        <v>11</v>
      </c>
    </row>
    <row r="17" spans="1:13" x14ac:dyDescent="0.3">
      <c r="B17" s="4" t="s">
        <v>12</v>
      </c>
      <c r="E17" s="4" t="s">
        <v>0</v>
      </c>
      <c r="F17" s="4" t="s">
        <v>1</v>
      </c>
      <c r="G17" s="4" t="s">
        <v>13</v>
      </c>
      <c r="H17" s="4" t="s">
        <v>14</v>
      </c>
      <c r="I17" s="4" t="s">
        <v>2</v>
      </c>
      <c r="K17" s="4" t="s">
        <v>15</v>
      </c>
    </row>
    <row r="18" spans="1:13" x14ac:dyDescent="0.3">
      <c r="B18" s="9" t="s">
        <v>13</v>
      </c>
      <c r="C18" s="7" t="s">
        <v>5</v>
      </c>
      <c r="D18" s="5">
        <v>0</v>
      </c>
      <c r="E18" s="8">
        <f>B4</f>
        <v>1</v>
      </c>
      <c r="F18" s="5">
        <f>C4</f>
        <v>0</v>
      </c>
      <c r="G18" s="5">
        <v>1</v>
      </c>
      <c r="H18" s="5">
        <v>0</v>
      </c>
      <c r="I18" s="5">
        <f>E4</f>
        <v>30</v>
      </c>
      <c r="K18" s="5">
        <f>I18/E18</f>
        <v>30</v>
      </c>
    </row>
    <row r="19" spans="1:13" x14ac:dyDescent="0.3">
      <c r="B19" s="9" t="s">
        <v>14</v>
      </c>
      <c r="C19" s="7" t="s">
        <v>6</v>
      </c>
      <c r="D19" s="5">
        <v>0</v>
      </c>
      <c r="E19" s="5">
        <f>B5</f>
        <v>2</v>
      </c>
      <c r="F19" s="5">
        <f>C5</f>
        <v>2</v>
      </c>
      <c r="G19" s="5">
        <v>0</v>
      </c>
      <c r="H19" s="5">
        <v>1</v>
      </c>
      <c r="I19" s="5">
        <f>E5</f>
        <v>80</v>
      </c>
      <c r="K19" s="5">
        <f>I19/E19</f>
        <v>40</v>
      </c>
    </row>
    <row r="20" spans="1:13" x14ac:dyDescent="0.3">
      <c r="D20" s="7" t="s">
        <v>16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</row>
    <row r="21" spans="1:13" x14ac:dyDescent="0.3">
      <c r="D21" s="2" t="s">
        <v>17</v>
      </c>
      <c r="E21" s="8">
        <v>150</v>
      </c>
      <c r="F21" s="5">
        <v>50</v>
      </c>
      <c r="G21" s="5">
        <v>0</v>
      </c>
      <c r="H21" s="5">
        <v>0</v>
      </c>
    </row>
    <row r="23" spans="1:13" x14ac:dyDescent="0.3">
      <c r="D23" t="s">
        <v>0</v>
      </c>
      <c r="E23">
        <v>0</v>
      </c>
    </row>
    <row r="24" spans="1:13" x14ac:dyDescent="0.3">
      <c r="D24" t="s">
        <v>1</v>
      </c>
      <c r="E24">
        <v>0</v>
      </c>
    </row>
    <row r="25" spans="1:13" x14ac:dyDescent="0.3">
      <c r="D25" t="s">
        <v>13</v>
      </c>
      <c r="E25">
        <v>30</v>
      </c>
    </row>
    <row r="26" spans="1:13" x14ac:dyDescent="0.3">
      <c r="D26" t="s">
        <v>14</v>
      </c>
      <c r="E26">
        <v>80</v>
      </c>
    </row>
    <row r="28" spans="1:13" x14ac:dyDescent="0.3">
      <c r="A28" t="s">
        <v>18</v>
      </c>
      <c r="B28" s="4" t="s">
        <v>12</v>
      </c>
      <c r="E28" s="4" t="s">
        <v>0</v>
      </c>
      <c r="F28" s="4" t="s">
        <v>1</v>
      </c>
      <c r="G28" s="4" t="s">
        <v>13</v>
      </c>
      <c r="H28" s="4" t="s">
        <v>14</v>
      </c>
      <c r="I28" s="4" t="s">
        <v>2</v>
      </c>
      <c r="M28" s="4" t="s">
        <v>15</v>
      </c>
    </row>
    <row r="29" spans="1:13" x14ac:dyDescent="0.3">
      <c r="B29" s="9" t="s">
        <v>0</v>
      </c>
      <c r="C29" s="7" t="s">
        <v>5</v>
      </c>
      <c r="D29" s="5">
        <v>150</v>
      </c>
      <c r="E29" s="5">
        <v>1</v>
      </c>
      <c r="F29" s="5">
        <f>C15</f>
        <v>0</v>
      </c>
      <c r="G29" s="5">
        <v>1</v>
      </c>
      <c r="H29" s="5">
        <v>0</v>
      </c>
      <c r="I29" s="5">
        <v>30</v>
      </c>
      <c r="K29" t="s">
        <v>36</v>
      </c>
      <c r="M29" s="5" t="s">
        <v>37</v>
      </c>
    </row>
    <row r="30" spans="1:13" x14ac:dyDescent="0.3">
      <c r="B30" s="9" t="s">
        <v>14</v>
      </c>
      <c r="C30" s="7" t="s">
        <v>6</v>
      </c>
      <c r="D30" s="5">
        <v>0</v>
      </c>
      <c r="E30" s="5">
        <f>-2*E29+E19</f>
        <v>0</v>
      </c>
      <c r="F30" s="8">
        <f t="shared" ref="F30:I30" si="0">-2*F29+F19</f>
        <v>2</v>
      </c>
      <c r="G30" s="5">
        <f t="shared" si="0"/>
        <v>-2</v>
      </c>
      <c r="H30" s="5">
        <f t="shared" si="0"/>
        <v>1</v>
      </c>
      <c r="I30" s="5">
        <f t="shared" si="0"/>
        <v>20</v>
      </c>
      <c r="K30" t="s">
        <v>38</v>
      </c>
      <c r="M30" s="5">
        <f>I30/F30</f>
        <v>10</v>
      </c>
    </row>
    <row r="31" spans="1:13" x14ac:dyDescent="0.3">
      <c r="D31" s="7" t="s">
        <v>16</v>
      </c>
      <c r="E31" s="5">
        <f>D29*E29+D30*E30</f>
        <v>150</v>
      </c>
      <c r="F31" s="5">
        <f>D29*F29+D30*F30</f>
        <v>0</v>
      </c>
      <c r="G31" s="5">
        <f>D29*G29+D30*G30</f>
        <v>150</v>
      </c>
      <c r="H31" s="5">
        <f>D29*H29+D30*H30</f>
        <v>0</v>
      </c>
      <c r="I31" s="5">
        <f>D29*I29+D30*I30</f>
        <v>4500</v>
      </c>
    </row>
    <row r="32" spans="1:13" x14ac:dyDescent="0.3">
      <c r="D32" s="2" t="s">
        <v>17</v>
      </c>
      <c r="E32" s="5">
        <f>E31-D29</f>
        <v>0</v>
      </c>
      <c r="F32" s="8">
        <v>50</v>
      </c>
      <c r="G32" s="5">
        <f>0-G31</f>
        <v>-150</v>
      </c>
      <c r="H32" s="5">
        <f>0-H31</f>
        <v>0</v>
      </c>
    </row>
    <row r="34" spans="1:11" x14ac:dyDescent="0.3">
      <c r="D34" t="s">
        <v>0</v>
      </c>
      <c r="E34">
        <v>30</v>
      </c>
    </row>
    <row r="35" spans="1:11" x14ac:dyDescent="0.3">
      <c r="D35" t="s">
        <v>1</v>
      </c>
      <c r="E35">
        <v>0</v>
      </c>
    </row>
    <row r="36" spans="1:11" x14ac:dyDescent="0.3">
      <c r="D36" t="s">
        <v>13</v>
      </c>
      <c r="E36">
        <v>0</v>
      </c>
    </row>
    <row r="37" spans="1:11" x14ac:dyDescent="0.3">
      <c r="D37" t="s">
        <v>14</v>
      </c>
      <c r="E37">
        <v>20</v>
      </c>
    </row>
    <row r="39" spans="1:11" x14ac:dyDescent="0.3">
      <c r="A39" t="s">
        <v>21</v>
      </c>
      <c r="B39" s="4" t="s">
        <v>12</v>
      </c>
      <c r="E39" s="4" t="s">
        <v>0</v>
      </c>
      <c r="F39" s="4" t="s">
        <v>1</v>
      </c>
      <c r="G39" s="4" t="s">
        <v>13</v>
      </c>
      <c r="H39" s="4" t="s">
        <v>14</v>
      </c>
      <c r="I39" s="4" t="s">
        <v>2</v>
      </c>
    </row>
    <row r="40" spans="1:11" x14ac:dyDescent="0.3">
      <c r="B40" s="9" t="s">
        <v>0</v>
      </c>
      <c r="C40" s="7" t="s">
        <v>5</v>
      </c>
      <c r="D40" s="5">
        <v>150</v>
      </c>
      <c r="E40" s="5">
        <f>E29</f>
        <v>1</v>
      </c>
      <c r="F40" s="5">
        <f t="shared" ref="F40:I40" si="1">F29</f>
        <v>0</v>
      </c>
      <c r="G40" s="5">
        <f t="shared" si="1"/>
        <v>1</v>
      </c>
      <c r="H40" s="5">
        <f t="shared" si="1"/>
        <v>0</v>
      </c>
      <c r="I40" s="5">
        <f t="shared" si="1"/>
        <v>30</v>
      </c>
      <c r="K40" t="s">
        <v>36</v>
      </c>
    </row>
    <row r="41" spans="1:11" x14ac:dyDescent="0.3">
      <c r="B41" s="9" t="s">
        <v>1</v>
      </c>
      <c r="C41" s="7" t="s">
        <v>6</v>
      </c>
      <c r="D41" s="5">
        <v>50</v>
      </c>
      <c r="E41" s="5">
        <f>E30/2</f>
        <v>0</v>
      </c>
      <c r="F41" s="5">
        <f t="shared" ref="F41:I41" si="2">F30/2</f>
        <v>1</v>
      </c>
      <c r="G41" s="5">
        <f t="shared" si="2"/>
        <v>-1</v>
      </c>
      <c r="H41" s="5">
        <f t="shared" si="2"/>
        <v>0.5</v>
      </c>
      <c r="I41" s="5">
        <f t="shared" si="2"/>
        <v>10</v>
      </c>
      <c r="K41" t="s">
        <v>39</v>
      </c>
    </row>
    <row r="42" spans="1:11" x14ac:dyDescent="0.3">
      <c r="D42" s="7" t="s">
        <v>16</v>
      </c>
      <c r="E42" s="5">
        <f>D40*E40+D41*E41</f>
        <v>150</v>
      </c>
      <c r="F42" s="5">
        <f>D40*F40+D41*F41</f>
        <v>50</v>
      </c>
      <c r="G42" s="5">
        <f>D40*G40+D41*G41</f>
        <v>100</v>
      </c>
      <c r="H42" s="5">
        <f>D40*H40+D41*H41</f>
        <v>25</v>
      </c>
      <c r="I42" s="5">
        <f>D40*I40+D41*I41</f>
        <v>5000</v>
      </c>
    </row>
    <row r="43" spans="1:11" x14ac:dyDescent="0.3">
      <c r="D43" s="7" t="s">
        <v>17</v>
      </c>
      <c r="E43" s="5">
        <f>150-E42</f>
        <v>0</v>
      </c>
      <c r="F43" s="5">
        <f>50-F42</f>
        <v>0</v>
      </c>
      <c r="G43" s="5">
        <f>0-G42</f>
        <v>-100</v>
      </c>
      <c r="H43" s="5">
        <f>0-H42</f>
        <v>-25</v>
      </c>
    </row>
    <row r="45" spans="1:11" x14ac:dyDescent="0.3">
      <c r="D45" s="1" t="s">
        <v>0</v>
      </c>
      <c r="E45" s="1">
        <v>30</v>
      </c>
    </row>
    <row r="46" spans="1:11" x14ac:dyDescent="0.3">
      <c r="D46" s="1" t="s">
        <v>1</v>
      </c>
      <c r="E46" s="1">
        <v>10</v>
      </c>
    </row>
    <row r="47" spans="1:11" x14ac:dyDescent="0.3">
      <c r="D47" t="s">
        <v>13</v>
      </c>
      <c r="E47">
        <v>0</v>
      </c>
    </row>
    <row r="48" spans="1:11" x14ac:dyDescent="0.3">
      <c r="D48" t="s">
        <v>14</v>
      </c>
      <c r="E48"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3111D-7E76-409A-AB3B-C3999F58B681}">
  <dimension ref="A3:M48"/>
  <sheetViews>
    <sheetView workbookViewId="0">
      <selection activeCell="C7" sqref="C7"/>
    </sheetView>
  </sheetViews>
  <sheetFormatPr defaultRowHeight="14.4" x14ac:dyDescent="0.3"/>
  <cols>
    <col min="1" max="1" width="25.88671875" customWidth="1"/>
    <col min="3" max="3" width="6.109375" customWidth="1"/>
    <col min="4" max="4" width="8" customWidth="1"/>
  </cols>
  <sheetData>
    <row r="3" spans="1:6" x14ac:dyDescent="0.3">
      <c r="B3" s="4" t="s">
        <v>0</v>
      </c>
      <c r="C3" s="4" t="s">
        <v>1</v>
      </c>
      <c r="D3" s="4"/>
      <c r="E3" s="4" t="s">
        <v>2</v>
      </c>
    </row>
    <row r="4" spans="1:6" x14ac:dyDescent="0.3">
      <c r="A4" s="1" t="s">
        <v>3</v>
      </c>
      <c r="B4" s="5">
        <v>2</v>
      </c>
      <c r="C4" s="5">
        <v>1</v>
      </c>
      <c r="D4" s="5">
        <f>SUMPRODUCT(B4:C4,B7:C7)</f>
        <v>180</v>
      </c>
      <c r="E4" s="5">
        <v>180</v>
      </c>
    </row>
    <row r="5" spans="1:6" x14ac:dyDescent="0.3">
      <c r="B5" s="5">
        <v>2</v>
      </c>
      <c r="C5" s="5">
        <v>4</v>
      </c>
      <c r="D5" s="5">
        <f>SUMPRODUCT(B5:C5,B7:C7)</f>
        <v>240</v>
      </c>
      <c r="E5" s="5">
        <v>240</v>
      </c>
    </row>
    <row r="7" spans="1:6" x14ac:dyDescent="0.3">
      <c r="A7" s="1" t="s">
        <v>4</v>
      </c>
      <c r="B7" s="5">
        <v>80</v>
      </c>
      <c r="C7" s="5">
        <v>20</v>
      </c>
    </row>
    <row r="9" spans="1:6" x14ac:dyDescent="0.3">
      <c r="B9" s="4" t="s">
        <v>5</v>
      </c>
      <c r="C9" s="4" t="s">
        <v>6</v>
      </c>
    </row>
    <row r="10" spans="1:6" x14ac:dyDescent="0.3">
      <c r="A10" s="1" t="s">
        <v>7</v>
      </c>
      <c r="B10" s="5">
        <v>120</v>
      </c>
      <c r="C10" s="5">
        <v>70</v>
      </c>
      <c r="E10" s="6" t="s">
        <v>8</v>
      </c>
      <c r="F10" s="5">
        <f>SUMPRODUCT(B10:C10,B7:C7)</f>
        <v>11000</v>
      </c>
    </row>
    <row r="13" spans="1:6" x14ac:dyDescent="0.3">
      <c r="B13" s="3" t="s">
        <v>9</v>
      </c>
      <c r="C13">
        <v>2</v>
      </c>
    </row>
    <row r="14" spans="1:6" x14ac:dyDescent="0.3">
      <c r="B14" s="3" t="s">
        <v>10</v>
      </c>
      <c r="C14">
        <v>2</v>
      </c>
    </row>
    <row r="16" spans="1:6" x14ac:dyDescent="0.3">
      <c r="A16" s="1" t="s">
        <v>11</v>
      </c>
    </row>
    <row r="17" spans="1:13" x14ac:dyDescent="0.3">
      <c r="B17" s="4" t="s">
        <v>12</v>
      </c>
      <c r="E17" s="4" t="s">
        <v>0</v>
      </c>
      <c r="F17" s="4" t="s">
        <v>1</v>
      </c>
      <c r="G17" s="4" t="s">
        <v>13</v>
      </c>
      <c r="H17" s="4" t="s">
        <v>14</v>
      </c>
      <c r="I17" s="4" t="s">
        <v>2</v>
      </c>
      <c r="K17" s="4" t="s">
        <v>15</v>
      </c>
    </row>
    <row r="18" spans="1:13" x14ac:dyDescent="0.3">
      <c r="B18" s="9" t="s">
        <v>13</v>
      </c>
      <c r="C18" s="7" t="s">
        <v>5</v>
      </c>
      <c r="D18" s="5">
        <v>0</v>
      </c>
      <c r="E18" s="8">
        <f>B4</f>
        <v>2</v>
      </c>
      <c r="F18" s="5">
        <f>C4</f>
        <v>1</v>
      </c>
      <c r="G18" s="5">
        <v>1</v>
      </c>
      <c r="H18" s="5">
        <v>0</v>
      </c>
      <c r="I18" s="5">
        <f>E4</f>
        <v>180</v>
      </c>
      <c r="K18" s="5">
        <f>I18/E18</f>
        <v>90</v>
      </c>
    </row>
    <row r="19" spans="1:13" x14ac:dyDescent="0.3">
      <c r="B19" s="9" t="s">
        <v>14</v>
      </c>
      <c r="C19" s="7" t="s">
        <v>6</v>
      </c>
      <c r="D19" s="5">
        <v>0</v>
      </c>
      <c r="E19" s="5">
        <f>B5</f>
        <v>2</v>
      </c>
      <c r="F19" s="5">
        <f>C5</f>
        <v>4</v>
      </c>
      <c r="G19" s="5">
        <v>0</v>
      </c>
      <c r="H19" s="5">
        <v>1</v>
      </c>
      <c r="I19" s="5">
        <f>E5</f>
        <v>240</v>
      </c>
      <c r="K19" s="5">
        <f>I19/E19</f>
        <v>120</v>
      </c>
    </row>
    <row r="20" spans="1:13" x14ac:dyDescent="0.3">
      <c r="D20" s="7" t="s">
        <v>16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</row>
    <row r="21" spans="1:13" x14ac:dyDescent="0.3">
      <c r="D21" s="2" t="s">
        <v>17</v>
      </c>
      <c r="E21" s="8">
        <v>120</v>
      </c>
      <c r="F21" s="5">
        <v>70</v>
      </c>
      <c r="G21" s="5">
        <v>0</v>
      </c>
      <c r="H21" s="5">
        <v>0</v>
      </c>
    </row>
    <row r="23" spans="1:13" x14ac:dyDescent="0.3">
      <c r="D23" t="s">
        <v>0</v>
      </c>
      <c r="E23">
        <v>0</v>
      </c>
    </row>
    <row r="24" spans="1:13" x14ac:dyDescent="0.3">
      <c r="D24" t="s">
        <v>1</v>
      </c>
      <c r="E24">
        <v>0</v>
      </c>
    </row>
    <row r="25" spans="1:13" x14ac:dyDescent="0.3">
      <c r="D25" t="s">
        <v>13</v>
      </c>
      <c r="E25">
        <v>180</v>
      </c>
    </row>
    <row r="26" spans="1:13" x14ac:dyDescent="0.3">
      <c r="D26" t="s">
        <v>14</v>
      </c>
      <c r="E26">
        <v>240</v>
      </c>
    </row>
    <row r="28" spans="1:13" x14ac:dyDescent="0.3">
      <c r="A28" t="s">
        <v>18</v>
      </c>
      <c r="B28" s="4" t="s">
        <v>12</v>
      </c>
      <c r="E28" s="4" t="s">
        <v>0</v>
      </c>
      <c r="F28" s="4" t="s">
        <v>1</v>
      </c>
      <c r="G28" s="4" t="s">
        <v>13</v>
      </c>
      <c r="H28" s="4" t="s">
        <v>14</v>
      </c>
      <c r="I28" s="4" t="s">
        <v>2</v>
      </c>
      <c r="M28" s="4" t="s">
        <v>15</v>
      </c>
    </row>
    <row r="29" spans="1:13" x14ac:dyDescent="0.3">
      <c r="B29" s="9" t="s">
        <v>0</v>
      </c>
      <c r="C29" s="7" t="s">
        <v>5</v>
      </c>
      <c r="D29" s="5">
        <v>120</v>
      </c>
      <c r="E29" s="5">
        <f>E18/2</f>
        <v>1</v>
      </c>
      <c r="F29" s="5">
        <f t="shared" ref="F29:I29" si="0">F18/2</f>
        <v>0.5</v>
      </c>
      <c r="G29" s="5">
        <f t="shared" si="0"/>
        <v>0.5</v>
      </c>
      <c r="H29" s="5">
        <f t="shared" si="0"/>
        <v>0</v>
      </c>
      <c r="I29" s="5">
        <f t="shared" si="0"/>
        <v>90</v>
      </c>
      <c r="K29" t="s">
        <v>40</v>
      </c>
      <c r="M29" s="5">
        <f>I29/F29</f>
        <v>180</v>
      </c>
    </row>
    <row r="30" spans="1:13" x14ac:dyDescent="0.3">
      <c r="B30" s="9" t="s">
        <v>14</v>
      </c>
      <c r="C30" s="7" t="s">
        <v>6</v>
      </c>
      <c r="D30" s="5">
        <v>0</v>
      </c>
      <c r="E30" s="5">
        <f>-E18+E19</f>
        <v>0</v>
      </c>
      <c r="F30" s="8">
        <f t="shared" ref="F30:I30" si="1">-F18+F19</f>
        <v>3</v>
      </c>
      <c r="G30" s="5">
        <f t="shared" si="1"/>
        <v>-1</v>
      </c>
      <c r="H30" s="5">
        <f t="shared" si="1"/>
        <v>1</v>
      </c>
      <c r="I30" s="5">
        <f t="shared" si="1"/>
        <v>60</v>
      </c>
      <c r="K30" t="s">
        <v>41</v>
      </c>
      <c r="M30" s="5">
        <f>I30/F30</f>
        <v>20</v>
      </c>
    </row>
    <row r="31" spans="1:13" x14ac:dyDescent="0.3">
      <c r="D31" s="7" t="s">
        <v>16</v>
      </c>
      <c r="E31" s="5">
        <f>D29*E29+D30*E30</f>
        <v>120</v>
      </c>
      <c r="F31" s="5">
        <f>D29*F29+D30*F30</f>
        <v>60</v>
      </c>
      <c r="G31" s="5">
        <f>D29*G29+D30*G30</f>
        <v>60</v>
      </c>
      <c r="H31" s="5">
        <f>D29*H29+D30*H30</f>
        <v>0</v>
      </c>
      <c r="I31" s="5">
        <f>D29*I29+D30*I30</f>
        <v>10800</v>
      </c>
    </row>
    <row r="32" spans="1:13" x14ac:dyDescent="0.3">
      <c r="D32" s="2" t="s">
        <v>17</v>
      </c>
      <c r="E32" s="5">
        <f>120-E31</f>
        <v>0</v>
      </c>
      <c r="F32" s="8">
        <f>70-F31</f>
        <v>10</v>
      </c>
      <c r="G32" s="5">
        <f>0-G31</f>
        <v>-60</v>
      </c>
      <c r="H32" s="5">
        <f>0-H31</f>
        <v>0</v>
      </c>
    </row>
    <row r="34" spans="1:11" x14ac:dyDescent="0.3">
      <c r="D34" t="s">
        <v>0</v>
      </c>
      <c r="E34">
        <v>90</v>
      </c>
    </row>
    <row r="35" spans="1:11" x14ac:dyDescent="0.3">
      <c r="D35" t="s">
        <v>1</v>
      </c>
      <c r="E35">
        <v>0</v>
      </c>
    </row>
    <row r="36" spans="1:11" x14ac:dyDescent="0.3">
      <c r="D36" t="s">
        <v>13</v>
      </c>
      <c r="E36">
        <v>0</v>
      </c>
    </row>
    <row r="37" spans="1:11" x14ac:dyDescent="0.3">
      <c r="D37" t="s">
        <v>14</v>
      </c>
      <c r="E37">
        <v>60</v>
      </c>
    </row>
    <row r="39" spans="1:11" x14ac:dyDescent="0.3">
      <c r="A39" t="s">
        <v>21</v>
      </c>
      <c r="B39" s="4" t="s">
        <v>12</v>
      </c>
      <c r="E39" s="4" t="s">
        <v>0</v>
      </c>
      <c r="F39" s="4" t="s">
        <v>1</v>
      </c>
      <c r="G39" s="4" t="s">
        <v>13</v>
      </c>
      <c r="H39" s="4" t="s">
        <v>14</v>
      </c>
      <c r="I39" s="4" t="s">
        <v>2</v>
      </c>
    </row>
    <row r="40" spans="1:11" x14ac:dyDescent="0.3">
      <c r="B40" s="9" t="s">
        <v>0</v>
      </c>
      <c r="C40" s="7" t="s">
        <v>5</v>
      </c>
      <c r="D40" s="5">
        <v>120</v>
      </c>
      <c r="E40" s="5">
        <f>-E41/2+E29</f>
        <v>1</v>
      </c>
      <c r="F40" s="5">
        <f t="shared" ref="F40:I40" si="2">-F41/2+F29</f>
        <v>0</v>
      </c>
      <c r="G40" s="5">
        <f t="shared" si="2"/>
        <v>0.66666666666666663</v>
      </c>
      <c r="H40" s="5">
        <f t="shared" si="2"/>
        <v>-0.16666666666666666</v>
      </c>
      <c r="I40" s="5">
        <f t="shared" si="2"/>
        <v>80</v>
      </c>
      <c r="K40" t="s">
        <v>42</v>
      </c>
    </row>
    <row r="41" spans="1:11" x14ac:dyDescent="0.3">
      <c r="B41" s="9" t="s">
        <v>1</v>
      </c>
      <c r="C41" s="7" t="s">
        <v>6</v>
      </c>
      <c r="D41" s="5">
        <v>70</v>
      </c>
      <c r="E41" s="5">
        <f>E30/3</f>
        <v>0</v>
      </c>
      <c r="F41" s="5">
        <f t="shared" ref="F41:I41" si="3">F30/3</f>
        <v>1</v>
      </c>
      <c r="G41" s="5">
        <f t="shared" si="3"/>
        <v>-0.33333333333333331</v>
      </c>
      <c r="H41" s="5">
        <f t="shared" si="3"/>
        <v>0.33333333333333331</v>
      </c>
      <c r="I41" s="5">
        <f t="shared" si="3"/>
        <v>20</v>
      </c>
      <c r="K41" t="s">
        <v>43</v>
      </c>
    </row>
    <row r="42" spans="1:11" x14ac:dyDescent="0.3">
      <c r="D42" s="7" t="s">
        <v>16</v>
      </c>
      <c r="E42" s="5">
        <f>D40*E40+D41*E41</f>
        <v>120</v>
      </c>
      <c r="F42" s="5">
        <f>D40*F40+D41*F41</f>
        <v>70</v>
      </c>
      <c r="G42" s="5">
        <f>D40*G40+D41*G41</f>
        <v>56.666666666666671</v>
      </c>
      <c r="H42" s="5">
        <f>D40*H40+D41*H41</f>
        <v>3.3333333333333321</v>
      </c>
      <c r="I42" s="5">
        <f>D40*I40+D41*I41</f>
        <v>11000</v>
      </c>
    </row>
    <row r="43" spans="1:11" x14ac:dyDescent="0.3">
      <c r="D43" s="7" t="s">
        <v>17</v>
      </c>
      <c r="E43" s="5">
        <f>120-E42</f>
        <v>0</v>
      </c>
      <c r="F43" s="5">
        <f>70-F42</f>
        <v>0</v>
      </c>
      <c r="G43" s="5">
        <f>0-G42</f>
        <v>-56.666666666666671</v>
      </c>
      <c r="H43" s="5">
        <f>0-H42</f>
        <v>-3.3333333333333321</v>
      </c>
    </row>
    <row r="45" spans="1:11" x14ac:dyDescent="0.3">
      <c r="D45" s="1" t="s">
        <v>0</v>
      </c>
      <c r="E45" s="1">
        <v>80</v>
      </c>
    </row>
    <row r="46" spans="1:11" x14ac:dyDescent="0.3">
      <c r="D46" s="1" t="s">
        <v>1</v>
      </c>
      <c r="E46" s="1">
        <v>20</v>
      </c>
    </row>
    <row r="47" spans="1:11" x14ac:dyDescent="0.3">
      <c r="D47" t="s">
        <v>13</v>
      </c>
      <c r="E47">
        <v>0</v>
      </c>
    </row>
    <row r="48" spans="1:11" x14ac:dyDescent="0.3">
      <c r="D48" t="s">
        <v>14</v>
      </c>
      <c r="E48"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14D38-7420-4240-B7FF-4ECE5DD0B070}">
  <dimension ref="A3:N57"/>
  <sheetViews>
    <sheetView workbookViewId="0">
      <selection activeCell="M9" sqref="M9"/>
    </sheetView>
  </sheetViews>
  <sheetFormatPr defaultRowHeight="14.4" x14ac:dyDescent="0.3"/>
  <cols>
    <col min="1" max="1" width="25.88671875" customWidth="1"/>
    <col min="3" max="3" width="6.109375" customWidth="1"/>
    <col min="4" max="4" width="8" customWidth="1"/>
  </cols>
  <sheetData>
    <row r="3" spans="1:8" x14ac:dyDescent="0.3">
      <c r="B3" s="4" t="s">
        <v>0</v>
      </c>
      <c r="C3" s="4" t="s">
        <v>1</v>
      </c>
      <c r="E3" s="4" t="s">
        <v>2</v>
      </c>
    </row>
    <row r="4" spans="1:8" x14ac:dyDescent="0.3">
      <c r="A4" s="1" t="s">
        <v>3</v>
      </c>
      <c r="B4" s="5">
        <v>1</v>
      </c>
      <c r="C4" s="5">
        <v>0</v>
      </c>
      <c r="D4" s="5">
        <f>SUMPRODUCT(B4:C4,B6:C6)</f>
        <v>2</v>
      </c>
      <c r="E4" s="5">
        <v>3</v>
      </c>
    </row>
    <row r="5" spans="1:8" x14ac:dyDescent="0.3">
      <c r="B5" s="5">
        <v>0</v>
      </c>
      <c r="C5" s="5">
        <v>1</v>
      </c>
      <c r="D5" s="5">
        <f>SUMPRODUCT(B5:C5,B8:C8)</f>
        <v>5</v>
      </c>
      <c r="E5" s="5">
        <v>5</v>
      </c>
    </row>
    <row r="6" spans="1:8" x14ac:dyDescent="0.3">
      <c r="B6" s="5">
        <v>2</v>
      </c>
      <c r="C6" s="5">
        <v>2</v>
      </c>
      <c r="D6" s="5">
        <f>SUMPRODUCT(B6:C6,B8:C8)</f>
        <v>12</v>
      </c>
      <c r="E6" s="5">
        <v>12</v>
      </c>
    </row>
    <row r="8" spans="1:8" x14ac:dyDescent="0.3">
      <c r="A8" s="1" t="s">
        <v>4</v>
      </c>
      <c r="B8" s="5">
        <v>1</v>
      </c>
      <c r="C8" s="5">
        <v>5</v>
      </c>
    </row>
    <row r="10" spans="1:8" x14ac:dyDescent="0.3">
      <c r="B10" s="4" t="s">
        <v>5</v>
      </c>
      <c r="C10" s="4" t="s">
        <v>6</v>
      </c>
    </row>
    <row r="11" spans="1:8" x14ac:dyDescent="0.3">
      <c r="A11" s="1" t="s">
        <v>7</v>
      </c>
      <c r="B11" s="5">
        <v>1</v>
      </c>
      <c r="C11" s="5">
        <v>2</v>
      </c>
      <c r="G11" s="6" t="s">
        <v>8</v>
      </c>
      <c r="H11" s="5">
        <f>SUMPRODUCT(B8:C8,B11:C11)</f>
        <v>11</v>
      </c>
    </row>
    <row r="14" spans="1:8" x14ac:dyDescent="0.3">
      <c r="B14" s="3" t="s">
        <v>9</v>
      </c>
      <c r="C14">
        <v>2</v>
      </c>
    </row>
    <row r="15" spans="1:8" x14ac:dyDescent="0.3">
      <c r="B15" s="3" t="s">
        <v>10</v>
      </c>
      <c r="C15">
        <v>3</v>
      </c>
    </row>
    <row r="17" spans="1:14" x14ac:dyDescent="0.3">
      <c r="A17" s="1" t="s">
        <v>11</v>
      </c>
    </row>
    <row r="18" spans="1:14" x14ac:dyDescent="0.3">
      <c r="B18" s="4" t="s">
        <v>12</v>
      </c>
      <c r="E18" s="4" t="s">
        <v>0</v>
      </c>
      <c r="F18" s="4" t="s">
        <v>1</v>
      </c>
      <c r="G18" s="4" t="s">
        <v>13</v>
      </c>
      <c r="H18" s="4" t="s">
        <v>14</v>
      </c>
      <c r="I18" s="4" t="s">
        <v>26</v>
      </c>
      <c r="J18" s="4" t="s">
        <v>2</v>
      </c>
      <c r="L18" s="4" t="s">
        <v>15</v>
      </c>
    </row>
    <row r="19" spans="1:14" x14ac:dyDescent="0.3">
      <c r="B19" s="9" t="s">
        <v>13</v>
      </c>
      <c r="C19" s="7" t="s">
        <v>5</v>
      </c>
      <c r="D19" s="5">
        <v>0</v>
      </c>
      <c r="E19" s="5">
        <f>B4</f>
        <v>1</v>
      </c>
      <c r="F19" s="5">
        <f>C4</f>
        <v>0</v>
      </c>
      <c r="G19" s="5">
        <v>1</v>
      </c>
      <c r="H19" s="5">
        <v>0</v>
      </c>
      <c r="I19" s="5">
        <v>0</v>
      </c>
      <c r="J19" s="5">
        <f>E4</f>
        <v>3</v>
      </c>
      <c r="L19" s="5" t="e">
        <f>J19/F19</f>
        <v>#DIV/0!</v>
      </c>
    </row>
    <row r="20" spans="1:14" x14ac:dyDescent="0.3">
      <c r="B20" s="9" t="s">
        <v>14</v>
      </c>
      <c r="C20" s="7" t="s">
        <v>6</v>
      </c>
      <c r="D20" s="5">
        <v>0</v>
      </c>
      <c r="E20" s="5">
        <f>B5</f>
        <v>0</v>
      </c>
      <c r="F20" s="8">
        <f>C5</f>
        <v>1</v>
      </c>
      <c r="G20" s="5">
        <v>0</v>
      </c>
      <c r="H20" s="5">
        <v>1</v>
      </c>
      <c r="I20" s="5">
        <v>0</v>
      </c>
      <c r="J20" s="5">
        <f>E5</f>
        <v>5</v>
      </c>
      <c r="L20" s="5">
        <f>J20/F20</f>
        <v>5</v>
      </c>
    </row>
    <row r="21" spans="1:14" x14ac:dyDescent="0.3">
      <c r="B21" s="9" t="s">
        <v>26</v>
      </c>
      <c r="C21" s="7" t="s">
        <v>25</v>
      </c>
      <c r="D21" s="5">
        <v>0</v>
      </c>
      <c r="E21" s="5">
        <v>2</v>
      </c>
      <c r="F21" s="5">
        <v>2</v>
      </c>
      <c r="G21" s="5">
        <v>0</v>
      </c>
      <c r="H21" s="5">
        <v>0</v>
      </c>
      <c r="I21" s="5">
        <v>1</v>
      </c>
      <c r="J21" s="5">
        <f>E6</f>
        <v>12</v>
      </c>
      <c r="L21" s="5">
        <f>J21/F21</f>
        <v>6</v>
      </c>
    </row>
    <row r="22" spans="1:14" x14ac:dyDescent="0.3">
      <c r="D22" s="7" t="s">
        <v>16</v>
      </c>
      <c r="E22" s="5">
        <v>0</v>
      </c>
      <c r="F22" s="5">
        <v>0</v>
      </c>
      <c r="G22" s="5">
        <v>0</v>
      </c>
      <c r="H22" s="5">
        <v>0</v>
      </c>
      <c r="I22" s="5"/>
      <c r="J22" s="5">
        <v>0</v>
      </c>
    </row>
    <row r="23" spans="1:14" x14ac:dyDescent="0.3">
      <c r="D23" s="2" t="s">
        <v>17</v>
      </c>
      <c r="E23" s="5">
        <v>1</v>
      </c>
      <c r="F23" s="8">
        <v>2</v>
      </c>
      <c r="G23" s="5">
        <v>0</v>
      </c>
      <c r="H23" s="5">
        <v>0</v>
      </c>
      <c r="I23" s="5">
        <v>0</v>
      </c>
    </row>
    <row r="25" spans="1:14" x14ac:dyDescent="0.3">
      <c r="D25" t="s">
        <v>0</v>
      </c>
      <c r="E25">
        <v>0</v>
      </c>
    </row>
    <row r="26" spans="1:14" x14ac:dyDescent="0.3">
      <c r="D26" t="s">
        <v>1</v>
      </c>
      <c r="E26">
        <v>0</v>
      </c>
    </row>
    <row r="27" spans="1:14" x14ac:dyDescent="0.3">
      <c r="D27" t="s">
        <v>13</v>
      </c>
      <c r="E27">
        <v>3</v>
      </c>
    </row>
    <row r="28" spans="1:14" x14ac:dyDescent="0.3">
      <c r="D28" t="s">
        <v>14</v>
      </c>
      <c r="E28">
        <v>5</v>
      </c>
    </row>
    <row r="29" spans="1:14" x14ac:dyDescent="0.3">
      <c r="D29" t="s">
        <v>26</v>
      </c>
      <c r="E29">
        <v>12</v>
      </c>
    </row>
    <row r="31" spans="1:14" x14ac:dyDescent="0.3">
      <c r="A31" s="1" t="s">
        <v>18</v>
      </c>
    </row>
    <row r="32" spans="1:14" x14ac:dyDescent="0.3">
      <c r="B32" s="4" t="s">
        <v>12</v>
      </c>
      <c r="E32" s="4" t="s">
        <v>0</v>
      </c>
      <c r="F32" s="4" t="s">
        <v>1</v>
      </c>
      <c r="G32" s="4" t="s">
        <v>13</v>
      </c>
      <c r="H32" s="4" t="s">
        <v>14</v>
      </c>
      <c r="I32" s="4" t="s">
        <v>26</v>
      </c>
      <c r="J32" s="4" t="s">
        <v>2</v>
      </c>
      <c r="N32" s="4" t="s">
        <v>15</v>
      </c>
    </row>
    <row r="33" spans="1:14" x14ac:dyDescent="0.3">
      <c r="B33" s="9" t="s">
        <v>13</v>
      </c>
      <c r="C33" s="7" t="s">
        <v>5</v>
      </c>
      <c r="D33" s="5">
        <v>0</v>
      </c>
      <c r="E33" s="5">
        <f t="shared" ref="E33:J34" si="0">E19</f>
        <v>1</v>
      </c>
      <c r="F33" s="5">
        <f t="shared" si="0"/>
        <v>0</v>
      </c>
      <c r="G33" s="5">
        <f t="shared" si="0"/>
        <v>1</v>
      </c>
      <c r="H33" s="5">
        <f t="shared" si="0"/>
        <v>0</v>
      </c>
      <c r="I33" s="5">
        <f t="shared" si="0"/>
        <v>0</v>
      </c>
      <c r="J33" s="5">
        <f t="shared" si="0"/>
        <v>3</v>
      </c>
      <c r="L33" t="s">
        <v>36</v>
      </c>
      <c r="N33" s="5">
        <f>J33/E33</f>
        <v>3</v>
      </c>
    </row>
    <row r="34" spans="1:14" x14ac:dyDescent="0.3">
      <c r="B34" s="9" t="s">
        <v>1</v>
      </c>
      <c r="C34" s="7" t="s">
        <v>6</v>
      </c>
      <c r="D34" s="5">
        <v>2</v>
      </c>
      <c r="E34" s="5">
        <f t="shared" si="0"/>
        <v>0</v>
      </c>
      <c r="F34" s="5">
        <f t="shared" si="0"/>
        <v>1</v>
      </c>
      <c r="G34" s="5">
        <f t="shared" si="0"/>
        <v>0</v>
      </c>
      <c r="H34" s="5">
        <f t="shared" si="0"/>
        <v>1</v>
      </c>
      <c r="I34" s="5">
        <f t="shared" si="0"/>
        <v>0</v>
      </c>
      <c r="J34" s="5">
        <f t="shared" si="0"/>
        <v>5</v>
      </c>
      <c r="L34" t="s">
        <v>44</v>
      </c>
      <c r="N34" s="5" t="e">
        <f>J34/E34</f>
        <v>#DIV/0!</v>
      </c>
    </row>
    <row r="35" spans="1:14" x14ac:dyDescent="0.3">
      <c r="B35" s="9" t="s">
        <v>26</v>
      </c>
      <c r="C35" s="7" t="s">
        <v>25</v>
      </c>
      <c r="D35" s="5">
        <v>0</v>
      </c>
      <c r="E35" s="8">
        <f t="shared" ref="E35:J35" si="1">-2*E34+E21</f>
        <v>2</v>
      </c>
      <c r="F35" s="5">
        <f t="shared" si="1"/>
        <v>0</v>
      </c>
      <c r="G35" s="5">
        <f t="shared" si="1"/>
        <v>0</v>
      </c>
      <c r="H35" s="5">
        <f t="shared" si="1"/>
        <v>-2</v>
      </c>
      <c r="I35" s="5">
        <f t="shared" si="1"/>
        <v>1</v>
      </c>
      <c r="J35" s="5">
        <f t="shared" si="1"/>
        <v>2</v>
      </c>
      <c r="L35" t="s">
        <v>45</v>
      </c>
      <c r="N35" s="5">
        <f>J35/E35</f>
        <v>1</v>
      </c>
    </row>
    <row r="36" spans="1:14" x14ac:dyDescent="0.3">
      <c r="D36" s="7" t="s">
        <v>16</v>
      </c>
      <c r="E36" s="5">
        <f>D33*E33+D34*E34+D35*E35</f>
        <v>0</v>
      </c>
      <c r="F36" s="5">
        <f>D33*F33+D34*F34+D35*F35</f>
        <v>2</v>
      </c>
      <c r="G36" s="5">
        <f>D33*G33+D34*G34+D35*G35</f>
        <v>0</v>
      </c>
      <c r="H36" s="5">
        <f>D33*H33+D34*H34+D35*H35</f>
        <v>2</v>
      </c>
      <c r="I36" s="5">
        <f>D33*I33+D34*I34+D35*I35</f>
        <v>0</v>
      </c>
      <c r="J36" s="5">
        <f>D33*J33+D34*J34+D35*J35</f>
        <v>10</v>
      </c>
    </row>
    <row r="37" spans="1:14" x14ac:dyDescent="0.3">
      <c r="D37" s="2" t="s">
        <v>17</v>
      </c>
      <c r="E37" s="8">
        <f>1-E36</f>
        <v>1</v>
      </c>
      <c r="F37" s="5">
        <f>2-F36</f>
        <v>0</v>
      </c>
      <c r="G37" s="5">
        <f>0-G36</f>
        <v>0</v>
      </c>
      <c r="H37" s="5">
        <f>0-H36</f>
        <v>-2</v>
      </c>
      <c r="I37" s="5">
        <f>0-I36</f>
        <v>0</v>
      </c>
    </row>
    <row r="39" spans="1:14" x14ac:dyDescent="0.3">
      <c r="D39" t="s">
        <v>0</v>
      </c>
      <c r="E39">
        <v>0</v>
      </c>
    </row>
    <row r="40" spans="1:14" x14ac:dyDescent="0.3">
      <c r="D40" t="s">
        <v>24</v>
      </c>
      <c r="E40">
        <v>0</v>
      </c>
    </row>
    <row r="41" spans="1:14" x14ac:dyDescent="0.3">
      <c r="D41" t="s">
        <v>13</v>
      </c>
      <c r="E41">
        <v>3</v>
      </c>
    </row>
    <row r="42" spans="1:14" x14ac:dyDescent="0.3">
      <c r="D42" t="s">
        <v>14</v>
      </c>
      <c r="E42">
        <v>0</v>
      </c>
    </row>
    <row r="43" spans="1:14" x14ac:dyDescent="0.3">
      <c r="D43" t="s">
        <v>26</v>
      </c>
      <c r="E43">
        <v>2</v>
      </c>
    </row>
    <row r="45" spans="1:14" x14ac:dyDescent="0.3">
      <c r="A45" s="1" t="s">
        <v>21</v>
      </c>
    </row>
    <row r="46" spans="1:14" x14ac:dyDescent="0.3">
      <c r="B46" s="4" t="s">
        <v>12</v>
      </c>
      <c r="E46" s="4" t="s">
        <v>0</v>
      </c>
      <c r="F46" s="4" t="s">
        <v>1</v>
      </c>
      <c r="G46" s="4" t="s">
        <v>13</v>
      </c>
      <c r="H46" s="4" t="s">
        <v>14</v>
      </c>
      <c r="I46" s="4" t="s">
        <v>26</v>
      </c>
      <c r="J46" s="4" t="s">
        <v>2</v>
      </c>
    </row>
    <row r="47" spans="1:14" x14ac:dyDescent="0.3">
      <c r="B47" s="9" t="s">
        <v>13</v>
      </c>
      <c r="C47" s="7" t="s">
        <v>5</v>
      </c>
      <c r="D47" s="5">
        <v>0</v>
      </c>
      <c r="E47" s="5">
        <f t="shared" ref="E47:J47" si="2">-E49+E33</f>
        <v>0</v>
      </c>
      <c r="F47" s="5">
        <f t="shared" si="2"/>
        <v>0</v>
      </c>
      <c r="G47" s="5">
        <f t="shared" si="2"/>
        <v>1</v>
      </c>
      <c r="H47" s="5">
        <f t="shared" si="2"/>
        <v>1</v>
      </c>
      <c r="I47" s="5">
        <f t="shared" si="2"/>
        <v>-0.5</v>
      </c>
      <c r="J47" s="5">
        <f t="shared" si="2"/>
        <v>2</v>
      </c>
      <c r="L47" t="s">
        <v>46</v>
      </c>
    </row>
    <row r="48" spans="1:14" x14ac:dyDescent="0.3">
      <c r="B48" s="9" t="s">
        <v>1</v>
      </c>
      <c r="C48" s="7" t="s">
        <v>6</v>
      </c>
      <c r="D48" s="5">
        <v>2</v>
      </c>
      <c r="E48" s="5">
        <f>E34</f>
        <v>0</v>
      </c>
      <c r="F48" s="5">
        <f t="shared" ref="F48:J48" si="3">F34</f>
        <v>1</v>
      </c>
      <c r="G48" s="5">
        <f t="shared" si="3"/>
        <v>0</v>
      </c>
      <c r="H48" s="5">
        <f t="shared" si="3"/>
        <v>1</v>
      </c>
      <c r="I48" s="5">
        <f t="shared" si="3"/>
        <v>0</v>
      </c>
      <c r="J48" s="5">
        <f t="shared" si="3"/>
        <v>5</v>
      </c>
      <c r="L48" t="s">
        <v>44</v>
      </c>
    </row>
    <row r="49" spans="2:12" x14ac:dyDescent="0.3">
      <c r="B49" s="9" t="s">
        <v>0</v>
      </c>
      <c r="C49" s="7" t="s">
        <v>25</v>
      </c>
      <c r="D49" s="5">
        <v>1</v>
      </c>
      <c r="E49" s="5">
        <f>E35/2</f>
        <v>1</v>
      </c>
      <c r="F49" s="5">
        <f t="shared" ref="F49:J49" si="4">F35/2</f>
        <v>0</v>
      </c>
      <c r="G49" s="5">
        <f t="shared" si="4"/>
        <v>0</v>
      </c>
      <c r="H49" s="5">
        <f t="shared" si="4"/>
        <v>-1</v>
      </c>
      <c r="I49" s="5">
        <f t="shared" si="4"/>
        <v>0.5</v>
      </c>
      <c r="J49" s="5">
        <f t="shared" si="4"/>
        <v>1</v>
      </c>
      <c r="L49" t="s">
        <v>47</v>
      </c>
    </row>
    <row r="50" spans="2:12" x14ac:dyDescent="0.3">
      <c r="D50" s="7" t="s">
        <v>16</v>
      </c>
      <c r="E50" s="5">
        <f>D47*E47+D48*E48+D49*E49</f>
        <v>1</v>
      </c>
      <c r="F50" s="5">
        <f>D47*F47+D48*F48+D49*F49</f>
        <v>2</v>
      </c>
      <c r="G50" s="5">
        <f>D47*G47+D48*G48+D49*G49</f>
        <v>0</v>
      </c>
      <c r="H50" s="5">
        <f>D47*H47+D48*H48+D49*H49</f>
        <v>1</v>
      </c>
      <c r="I50" s="5">
        <f>D47*I47+D48*I48+D49*I49</f>
        <v>0.5</v>
      </c>
      <c r="J50" s="5">
        <f>D47*J47+D48*J48+D49*J49</f>
        <v>11</v>
      </c>
    </row>
    <row r="51" spans="2:12" x14ac:dyDescent="0.3">
      <c r="D51" s="2" t="s">
        <v>17</v>
      </c>
      <c r="E51" s="5">
        <f>1-E50</f>
        <v>0</v>
      </c>
      <c r="F51" s="5">
        <f>2-F50</f>
        <v>0</v>
      </c>
      <c r="G51" s="5">
        <f>0-G50</f>
        <v>0</v>
      </c>
      <c r="H51" s="5">
        <f>0-H50</f>
        <v>-1</v>
      </c>
      <c r="I51" s="5">
        <f>0-I50</f>
        <v>-0.5</v>
      </c>
    </row>
    <row r="53" spans="2:12" x14ac:dyDescent="0.3">
      <c r="D53" s="1" t="s">
        <v>0</v>
      </c>
      <c r="E53" s="1">
        <v>1</v>
      </c>
    </row>
    <row r="54" spans="2:12" x14ac:dyDescent="0.3">
      <c r="D54" s="1" t="s">
        <v>1</v>
      </c>
      <c r="E54" s="1">
        <v>5</v>
      </c>
    </row>
    <row r="55" spans="2:12" x14ac:dyDescent="0.3">
      <c r="D55" s="1" t="s">
        <v>13</v>
      </c>
      <c r="E55" s="1">
        <v>2</v>
      </c>
    </row>
    <row r="56" spans="2:12" x14ac:dyDescent="0.3">
      <c r="D56" t="s">
        <v>14</v>
      </c>
      <c r="E56">
        <v>0</v>
      </c>
    </row>
    <row r="57" spans="2:12" x14ac:dyDescent="0.3">
      <c r="D57" t="s">
        <v>26</v>
      </c>
      <c r="E57"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BD840-D73C-4E1B-8482-F70BBB5C96FD}">
  <dimension ref="A3:O75"/>
  <sheetViews>
    <sheetView workbookViewId="0">
      <selection activeCell="J12" sqref="J12"/>
    </sheetView>
  </sheetViews>
  <sheetFormatPr defaultRowHeight="14.4" x14ac:dyDescent="0.3"/>
  <cols>
    <col min="1" max="1" width="25.88671875" customWidth="1"/>
    <col min="3" max="4" width="6.109375" customWidth="1"/>
    <col min="5" max="5" width="8" customWidth="1"/>
  </cols>
  <sheetData>
    <row r="3" spans="1:7" x14ac:dyDescent="0.3">
      <c r="B3" s="4" t="s">
        <v>0</v>
      </c>
      <c r="C3" s="4" t="s">
        <v>1</v>
      </c>
      <c r="D3" s="4" t="s">
        <v>24</v>
      </c>
      <c r="E3" s="4"/>
      <c r="F3" s="4" t="s">
        <v>2</v>
      </c>
      <c r="G3" s="4"/>
    </row>
    <row r="4" spans="1:7" x14ac:dyDescent="0.3">
      <c r="A4" s="1" t="s">
        <v>3</v>
      </c>
      <c r="B4" s="5">
        <v>9</v>
      </c>
      <c r="C4" s="5">
        <v>5</v>
      </c>
      <c r="D4" s="5">
        <v>3</v>
      </c>
      <c r="E4" s="5">
        <f>SUMPRODUCT(B4:D4,B8:D8)</f>
        <v>500</v>
      </c>
      <c r="F4" s="5">
        <v>500</v>
      </c>
    </row>
    <row r="5" spans="1:7" x14ac:dyDescent="0.3">
      <c r="B5" s="5">
        <v>3</v>
      </c>
      <c r="C5" s="5">
        <v>4</v>
      </c>
      <c r="D5" s="5">
        <v>0</v>
      </c>
      <c r="E5" s="5">
        <f>SUMPRODUCT(B5:D5,B8:D8)</f>
        <v>220</v>
      </c>
      <c r="F5" s="5">
        <v>350</v>
      </c>
    </row>
    <row r="6" spans="1:7" x14ac:dyDescent="0.3">
      <c r="B6" s="5">
        <v>5</v>
      </c>
      <c r="C6" s="5">
        <v>0</v>
      </c>
      <c r="D6" s="5">
        <v>2</v>
      </c>
      <c r="E6" s="5">
        <f>SUMPRODUCT(B6:D6,B8:D8)</f>
        <v>150</v>
      </c>
      <c r="F6" s="5">
        <v>150</v>
      </c>
    </row>
    <row r="8" spans="1:7" x14ac:dyDescent="0.3">
      <c r="A8" s="1" t="s">
        <v>4</v>
      </c>
      <c r="B8" s="5">
        <v>0</v>
      </c>
      <c r="C8" s="5">
        <v>55</v>
      </c>
      <c r="D8" s="5">
        <v>75</v>
      </c>
    </row>
    <row r="10" spans="1:7" x14ac:dyDescent="0.3">
      <c r="B10" s="4" t="s">
        <v>5</v>
      </c>
      <c r="C10" s="4" t="s">
        <v>6</v>
      </c>
      <c r="D10" s="4" t="s">
        <v>25</v>
      </c>
    </row>
    <row r="11" spans="1:7" x14ac:dyDescent="0.3">
      <c r="A11" s="1" t="s">
        <v>7</v>
      </c>
      <c r="B11" s="5">
        <v>50</v>
      </c>
      <c r="C11" s="5">
        <v>20</v>
      </c>
      <c r="D11" s="5">
        <v>25</v>
      </c>
      <c r="F11" s="6" t="s">
        <v>8</v>
      </c>
      <c r="G11" s="5">
        <f>SUMPRODUCT(B8:D8,B11:D11)</f>
        <v>2975</v>
      </c>
    </row>
    <row r="14" spans="1:7" x14ac:dyDescent="0.3">
      <c r="B14" s="3" t="s">
        <v>9</v>
      </c>
      <c r="C14">
        <v>3</v>
      </c>
    </row>
    <row r="15" spans="1:7" x14ac:dyDescent="0.3">
      <c r="B15" s="3" t="s">
        <v>10</v>
      </c>
      <c r="C15">
        <v>3</v>
      </c>
    </row>
    <row r="17" spans="1:13" x14ac:dyDescent="0.3">
      <c r="A17" s="1" t="s">
        <v>11</v>
      </c>
    </row>
    <row r="18" spans="1:13" x14ac:dyDescent="0.3">
      <c r="B18" s="4" t="s">
        <v>12</v>
      </c>
      <c r="E18" s="4" t="s">
        <v>0</v>
      </c>
      <c r="F18" s="4" t="s">
        <v>1</v>
      </c>
      <c r="G18" s="4" t="s">
        <v>24</v>
      </c>
      <c r="H18" s="4" t="s">
        <v>13</v>
      </c>
      <c r="I18" s="4" t="s">
        <v>14</v>
      </c>
      <c r="J18" s="4" t="s">
        <v>26</v>
      </c>
      <c r="K18" s="4" t="s">
        <v>2</v>
      </c>
      <c r="M18" s="4" t="s">
        <v>15</v>
      </c>
    </row>
    <row r="19" spans="1:13" x14ac:dyDescent="0.3">
      <c r="B19" s="9" t="s">
        <v>13</v>
      </c>
      <c r="C19" s="7" t="s">
        <v>5</v>
      </c>
      <c r="D19" s="5">
        <v>0</v>
      </c>
      <c r="E19" s="5">
        <v>9</v>
      </c>
      <c r="F19" s="5">
        <v>5</v>
      </c>
      <c r="G19" s="5">
        <v>3</v>
      </c>
      <c r="H19" s="5">
        <v>1</v>
      </c>
      <c r="I19" s="5">
        <v>0</v>
      </c>
      <c r="J19" s="5">
        <v>0</v>
      </c>
      <c r="K19" s="5">
        <v>500</v>
      </c>
      <c r="M19" s="5">
        <f>K19/E19</f>
        <v>55.555555555555557</v>
      </c>
    </row>
    <row r="20" spans="1:13" x14ac:dyDescent="0.3">
      <c r="B20" s="9" t="s">
        <v>14</v>
      </c>
      <c r="C20" s="7" t="s">
        <v>6</v>
      </c>
      <c r="D20" s="5">
        <v>0</v>
      </c>
      <c r="E20" s="5">
        <v>3</v>
      </c>
      <c r="F20" s="5">
        <v>4</v>
      </c>
      <c r="G20" s="5">
        <v>0</v>
      </c>
      <c r="H20" s="5">
        <v>0</v>
      </c>
      <c r="I20" s="5">
        <v>1</v>
      </c>
      <c r="J20" s="5">
        <v>0</v>
      </c>
      <c r="K20" s="5">
        <v>350</v>
      </c>
      <c r="M20" s="5">
        <f>K20/E20</f>
        <v>116.66666666666667</v>
      </c>
    </row>
    <row r="21" spans="1:13" x14ac:dyDescent="0.3">
      <c r="B21" s="9" t="s">
        <v>26</v>
      </c>
      <c r="C21" s="7" t="s">
        <v>25</v>
      </c>
      <c r="D21" s="5">
        <v>0</v>
      </c>
      <c r="E21" s="8">
        <v>5</v>
      </c>
      <c r="F21" s="5">
        <v>0</v>
      </c>
      <c r="G21" s="5">
        <v>2</v>
      </c>
      <c r="H21" s="5">
        <v>0</v>
      </c>
      <c r="I21" s="5">
        <v>0</v>
      </c>
      <c r="J21" s="5">
        <v>1</v>
      </c>
      <c r="K21" s="5">
        <v>150</v>
      </c>
      <c r="M21" s="5">
        <f>K21/E21</f>
        <v>30</v>
      </c>
    </row>
    <row r="22" spans="1:13" x14ac:dyDescent="0.3">
      <c r="D22" s="7" t="s">
        <v>16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</row>
    <row r="23" spans="1:13" x14ac:dyDescent="0.3">
      <c r="D23" s="2" t="s">
        <v>17</v>
      </c>
      <c r="E23" s="8">
        <v>50</v>
      </c>
      <c r="F23" s="5">
        <v>20</v>
      </c>
      <c r="G23" s="5">
        <v>25</v>
      </c>
      <c r="H23" s="5">
        <v>0</v>
      </c>
      <c r="I23" s="5">
        <v>0</v>
      </c>
      <c r="J23" s="5">
        <v>0</v>
      </c>
    </row>
    <row r="25" spans="1:13" x14ac:dyDescent="0.3">
      <c r="D25" t="s">
        <v>0</v>
      </c>
      <c r="E25">
        <v>0</v>
      </c>
    </row>
    <row r="26" spans="1:13" x14ac:dyDescent="0.3">
      <c r="D26" t="s">
        <v>1</v>
      </c>
      <c r="E26">
        <v>0</v>
      </c>
    </row>
    <row r="27" spans="1:13" x14ac:dyDescent="0.3">
      <c r="D27" t="s">
        <v>24</v>
      </c>
      <c r="E27">
        <v>0</v>
      </c>
    </row>
    <row r="28" spans="1:13" x14ac:dyDescent="0.3">
      <c r="D28" t="s">
        <v>13</v>
      </c>
      <c r="E28">
        <v>500</v>
      </c>
    </row>
    <row r="29" spans="1:13" x14ac:dyDescent="0.3">
      <c r="D29" t="s">
        <v>14</v>
      </c>
      <c r="E29">
        <v>350</v>
      </c>
    </row>
    <row r="30" spans="1:13" x14ac:dyDescent="0.3">
      <c r="D30" t="s">
        <v>26</v>
      </c>
      <c r="E30">
        <v>150</v>
      </c>
    </row>
    <row r="32" spans="1:13" x14ac:dyDescent="0.3">
      <c r="A32" s="1" t="s">
        <v>18</v>
      </c>
    </row>
    <row r="33" spans="1:15" x14ac:dyDescent="0.3">
      <c r="B33" s="4" t="s">
        <v>12</v>
      </c>
      <c r="E33" s="4" t="s">
        <v>0</v>
      </c>
      <c r="F33" s="4" t="s">
        <v>1</v>
      </c>
      <c r="G33" s="4" t="s">
        <v>24</v>
      </c>
      <c r="H33" s="4" t="s">
        <v>13</v>
      </c>
      <c r="I33" s="4" t="s">
        <v>14</v>
      </c>
      <c r="J33" s="4" t="s">
        <v>26</v>
      </c>
      <c r="K33" s="4" t="s">
        <v>2</v>
      </c>
      <c r="O33" s="4" t="s">
        <v>15</v>
      </c>
    </row>
    <row r="34" spans="1:15" x14ac:dyDescent="0.3">
      <c r="B34" s="9" t="s">
        <v>13</v>
      </c>
      <c r="C34" s="7" t="s">
        <v>5</v>
      </c>
      <c r="D34" s="5">
        <v>0</v>
      </c>
      <c r="E34" s="5">
        <f>-9*E36+E19</f>
        <v>0</v>
      </c>
      <c r="F34" s="8">
        <f t="shared" ref="F34:K34" si="0">-9*F36+F19</f>
        <v>5</v>
      </c>
      <c r="G34" s="5">
        <f t="shared" si="0"/>
        <v>-0.60000000000000009</v>
      </c>
      <c r="H34" s="5">
        <f t="shared" si="0"/>
        <v>1</v>
      </c>
      <c r="I34" s="5">
        <f t="shared" si="0"/>
        <v>0</v>
      </c>
      <c r="J34" s="5">
        <f t="shared" si="0"/>
        <v>-1.8</v>
      </c>
      <c r="K34" s="5">
        <f t="shared" si="0"/>
        <v>230</v>
      </c>
      <c r="M34" t="s">
        <v>48</v>
      </c>
      <c r="O34" s="5">
        <f>K34/F34</f>
        <v>46</v>
      </c>
    </row>
    <row r="35" spans="1:15" x14ac:dyDescent="0.3">
      <c r="B35" s="9" t="s">
        <v>14</v>
      </c>
      <c r="C35" s="7" t="s">
        <v>6</v>
      </c>
      <c r="D35" s="5">
        <v>0</v>
      </c>
      <c r="E35" s="5">
        <f>-3*E36+E20</f>
        <v>0</v>
      </c>
      <c r="F35" s="5">
        <f t="shared" ref="F35:K35" si="1">-3*F36+F20</f>
        <v>4</v>
      </c>
      <c r="G35" s="5">
        <f t="shared" si="1"/>
        <v>-1.2000000000000002</v>
      </c>
      <c r="H35" s="5">
        <f t="shared" si="1"/>
        <v>0</v>
      </c>
      <c r="I35" s="5">
        <f t="shared" si="1"/>
        <v>1</v>
      </c>
      <c r="J35" s="5">
        <f t="shared" si="1"/>
        <v>-0.60000000000000009</v>
      </c>
      <c r="K35" s="5">
        <f t="shared" si="1"/>
        <v>260</v>
      </c>
      <c r="M35" t="s">
        <v>49</v>
      </c>
      <c r="O35" s="5">
        <f>K35/F35</f>
        <v>65</v>
      </c>
    </row>
    <row r="36" spans="1:15" x14ac:dyDescent="0.3">
      <c r="B36" s="9" t="s">
        <v>0</v>
      </c>
      <c r="C36" s="7" t="s">
        <v>25</v>
      </c>
      <c r="D36" s="5">
        <v>50</v>
      </c>
      <c r="E36" s="5">
        <f>E21/5</f>
        <v>1</v>
      </c>
      <c r="F36" s="5">
        <f t="shared" ref="F36:K36" si="2">F21/5</f>
        <v>0</v>
      </c>
      <c r="G36" s="5">
        <f t="shared" si="2"/>
        <v>0.4</v>
      </c>
      <c r="H36" s="5">
        <f t="shared" si="2"/>
        <v>0</v>
      </c>
      <c r="I36" s="5">
        <f t="shared" si="2"/>
        <v>0</v>
      </c>
      <c r="J36" s="5">
        <f t="shared" si="2"/>
        <v>0.2</v>
      </c>
      <c r="K36" s="5">
        <f t="shared" si="2"/>
        <v>30</v>
      </c>
      <c r="M36" t="s">
        <v>50</v>
      </c>
      <c r="O36" s="5" t="e">
        <f>K36/F36</f>
        <v>#DIV/0!</v>
      </c>
    </row>
    <row r="37" spans="1:15" x14ac:dyDescent="0.3">
      <c r="D37" s="7" t="s">
        <v>16</v>
      </c>
      <c r="E37" s="5">
        <f>$D34*E34+$D35*E35+$D36*E36</f>
        <v>50</v>
      </c>
      <c r="F37" s="5">
        <f t="shared" ref="F37:K37" si="3">$D34*F34+$D35*F35+$D36*F36</f>
        <v>0</v>
      </c>
      <c r="G37" s="5">
        <f t="shared" si="3"/>
        <v>20</v>
      </c>
      <c r="H37" s="5">
        <f t="shared" si="3"/>
        <v>0</v>
      </c>
      <c r="I37" s="5">
        <f t="shared" si="3"/>
        <v>0</v>
      </c>
      <c r="J37" s="5">
        <f t="shared" si="3"/>
        <v>10</v>
      </c>
      <c r="K37" s="5">
        <f t="shared" si="3"/>
        <v>1500</v>
      </c>
    </row>
    <row r="38" spans="1:15" x14ac:dyDescent="0.3">
      <c r="D38" s="2" t="s">
        <v>17</v>
      </c>
      <c r="E38" s="5">
        <f>50-E37</f>
        <v>0</v>
      </c>
      <c r="F38" s="8">
        <f>20-F37</f>
        <v>20</v>
      </c>
      <c r="G38" s="5">
        <f>25-G37</f>
        <v>5</v>
      </c>
      <c r="H38" s="5">
        <f>0-H37</f>
        <v>0</v>
      </c>
      <c r="I38" s="5">
        <f>0-I37</f>
        <v>0</v>
      </c>
      <c r="J38" s="5">
        <f>0-J37</f>
        <v>-10</v>
      </c>
    </row>
    <row r="40" spans="1:15" x14ac:dyDescent="0.3">
      <c r="D40" t="s">
        <v>0</v>
      </c>
      <c r="E40">
        <v>30</v>
      </c>
    </row>
    <row r="41" spans="1:15" x14ac:dyDescent="0.3">
      <c r="D41" t="s">
        <v>1</v>
      </c>
      <c r="E41">
        <v>0</v>
      </c>
    </row>
    <row r="42" spans="1:15" x14ac:dyDescent="0.3">
      <c r="D42" t="s">
        <v>24</v>
      </c>
      <c r="E42">
        <v>0</v>
      </c>
    </row>
    <row r="43" spans="1:15" x14ac:dyDescent="0.3">
      <c r="D43" t="s">
        <v>13</v>
      </c>
      <c r="E43">
        <v>230</v>
      </c>
    </row>
    <row r="44" spans="1:15" x14ac:dyDescent="0.3">
      <c r="D44" t="s">
        <v>14</v>
      </c>
      <c r="E44">
        <v>260</v>
      </c>
    </row>
    <row r="45" spans="1:15" x14ac:dyDescent="0.3">
      <c r="D45" t="s">
        <v>26</v>
      </c>
      <c r="E45">
        <v>0</v>
      </c>
    </row>
    <row r="47" spans="1:15" x14ac:dyDescent="0.3">
      <c r="A47" s="1" t="s">
        <v>21</v>
      </c>
    </row>
    <row r="48" spans="1:15" x14ac:dyDescent="0.3">
      <c r="B48" s="4" t="s">
        <v>12</v>
      </c>
      <c r="E48" s="4" t="s">
        <v>0</v>
      </c>
      <c r="F48" s="4" t="s">
        <v>1</v>
      </c>
      <c r="G48" s="4" t="s">
        <v>24</v>
      </c>
      <c r="H48" s="4" t="s">
        <v>13</v>
      </c>
      <c r="I48" s="4" t="s">
        <v>14</v>
      </c>
      <c r="J48" s="4" t="s">
        <v>26</v>
      </c>
      <c r="K48" s="4" t="s">
        <v>2</v>
      </c>
      <c r="O48" s="4" t="s">
        <v>15</v>
      </c>
    </row>
    <row r="49" spans="1:15" x14ac:dyDescent="0.3">
      <c r="B49" s="9" t="s">
        <v>1</v>
      </c>
      <c r="C49" s="7" t="s">
        <v>5</v>
      </c>
      <c r="D49" s="5">
        <v>20</v>
      </c>
      <c r="E49" s="5">
        <f>E34/5</f>
        <v>0</v>
      </c>
      <c r="F49" s="5">
        <f t="shared" ref="F49:K49" si="4">F34/5</f>
        <v>1</v>
      </c>
      <c r="G49" s="5">
        <f t="shared" si="4"/>
        <v>-0.12000000000000002</v>
      </c>
      <c r="H49" s="5">
        <f t="shared" si="4"/>
        <v>0.2</v>
      </c>
      <c r="I49" s="5">
        <f t="shared" si="4"/>
        <v>0</v>
      </c>
      <c r="J49" s="5">
        <f t="shared" si="4"/>
        <v>-0.36</v>
      </c>
      <c r="K49" s="5">
        <f t="shared" si="4"/>
        <v>46</v>
      </c>
      <c r="M49" t="s">
        <v>51</v>
      </c>
      <c r="O49" s="5">
        <f>K49/G49</f>
        <v>-383.33333333333326</v>
      </c>
    </row>
    <row r="50" spans="1:15" x14ac:dyDescent="0.3">
      <c r="B50" s="9" t="s">
        <v>14</v>
      </c>
      <c r="C50" s="7" t="s">
        <v>6</v>
      </c>
      <c r="D50" s="5">
        <v>0</v>
      </c>
      <c r="E50" s="5">
        <f>-4*E49+E35</f>
        <v>0</v>
      </c>
      <c r="F50" s="5">
        <f t="shared" ref="F50:K50" si="5">-4*F49+F35</f>
        <v>0</v>
      </c>
      <c r="G50" s="5">
        <f t="shared" si="5"/>
        <v>-0.72000000000000008</v>
      </c>
      <c r="H50" s="5">
        <f t="shared" si="5"/>
        <v>-0.8</v>
      </c>
      <c r="I50" s="5">
        <f t="shared" si="5"/>
        <v>1</v>
      </c>
      <c r="J50" s="5">
        <f t="shared" si="5"/>
        <v>0.83999999999999986</v>
      </c>
      <c r="K50" s="5">
        <f t="shared" si="5"/>
        <v>76</v>
      </c>
      <c r="M50" t="s">
        <v>52</v>
      </c>
      <c r="O50" s="5">
        <f>K50/G50</f>
        <v>-105.55555555555554</v>
      </c>
    </row>
    <row r="51" spans="1:15" x14ac:dyDescent="0.3">
      <c r="B51" s="9" t="s">
        <v>0</v>
      </c>
      <c r="C51" s="7" t="s">
        <v>25</v>
      </c>
      <c r="D51" s="5">
        <v>50</v>
      </c>
      <c r="E51" s="5">
        <f>E36</f>
        <v>1</v>
      </c>
      <c r="F51" s="5">
        <f t="shared" ref="F51:K51" si="6">F36</f>
        <v>0</v>
      </c>
      <c r="G51" s="8">
        <f t="shared" si="6"/>
        <v>0.4</v>
      </c>
      <c r="H51" s="5">
        <f t="shared" si="6"/>
        <v>0</v>
      </c>
      <c r="I51" s="5">
        <f t="shared" si="6"/>
        <v>0</v>
      </c>
      <c r="J51" s="5">
        <f t="shared" si="6"/>
        <v>0.2</v>
      </c>
      <c r="K51" s="5">
        <f t="shared" si="6"/>
        <v>30</v>
      </c>
      <c r="M51" t="s">
        <v>53</v>
      </c>
      <c r="O51" s="5">
        <f>K51/G51</f>
        <v>75</v>
      </c>
    </row>
    <row r="52" spans="1:15" x14ac:dyDescent="0.3">
      <c r="D52" s="7" t="s">
        <v>16</v>
      </c>
      <c r="E52" s="5">
        <f>$D49*E49+$D50*E50+$D51*E51</f>
        <v>50</v>
      </c>
      <c r="F52" s="5">
        <f t="shared" ref="F52:K52" si="7">$D49*F49+$D50*F50+$D51*F51</f>
        <v>20</v>
      </c>
      <c r="G52" s="5">
        <f t="shared" si="7"/>
        <v>17.600000000000001</v>
      </c>
      <c r="H52" s="5">
        <f t="shared" si="7"/>
        <v>4</v>
      </c>
      <c r="I52" s="5">
        <f t="shared" si="7"/>
        <v>0</v>
      </c>
      <c r="J52" s="5">
        <f t="shared" si="7"/>
        <v>2.8000000000000007</v>
      </c>
      <c r="K52" s="5">
        <f t="shared" si="7"/>
        <v>2420</v>
      </c>
    </row>
    <row r="53" spans="1:15" x14ac:dyDescent="0.3">
      <c r="D53" s="2" t="s">
        <v>17</v>
      </c>
      <c r="E53" s="5">
        <f>50-E52</f>
        <v>0</v>
      </c>
      <c r="F53" s="5">
        <f>20-F52</f>
        <v>0</v>
      </c>
      <c r="G53" s="8">
        <f>25-G52</f>
        <v>7.3999999999999986</v>
      </c>
      <c r="H53" s="5">
        <f>0-H52</f>
        <v>-4</v>
      </c>
      <c r="I53" s="5">
        <f>0-I52</f>
        <v>0</v>
      </c>
      <c r="J53" s="5">
        <f>0-J52</f>
        <v>-2.8000000000000007</v>
      </c>
    </row>
    <row r="55" spans="1:15" x14ac:dyDescent="0.3">
      <c r="D55" t="s">
        <v>0</v>
      </c>
      <c r="E55">
        <v>30</v>
      </c>
    </row>
    <row r="56" spans="1:15" x14ac:dyDescent="0.3">
      <c r="D56" t="s">
        <v>1</v>
      </c>
      <c r="E56">
        <v>46</v>
      </c>
    </row>
    <row r="57" spans="1:15" x14ac:dyDescent="0.3">
      <c r="D57" t="s">
        <v>24</v>
      </c>
      <c r="E57">
        <v>0</v>
      </c>
    </row>
    <row r="58" spans="1:15" x14ac:dyDescent="0.3">
      <c r="D58" t="s">
        <v>13</v>
      </c>
      <c r="E58">
        <v>0</v>
      </c>
    </row>
    <row r="59" spans="1:15" x14ac:dyDescent="0.3">
      <c r="D59" t="s">
        <v>14</v>
      </c>
      <c r="E59">
        <v>76</v>
      </c>
    </row>
    <row r="60" spans="1:15" x14ac:dyDescent="0.3">
      <c r="D60" t="s">
        <v>26</v>
      </c>
      <c r="E60">
        <v>0</v>
      </c>
    </row>
    <row r="62" spans="1:15" x14ac:dyDescent="0.3">
      <c r="A62" s="1" t="s">
        <v>54</v>
      </c>
    </row>
    <row r="63" spans="1:15" x14ac:dyDescent="0.3">
      <c r="B63" s="4" t="s">
        <v>12</v>
      </c>
      <c r="E63" s="4" t="s">
        <v>0</v>
      </c>
      <c r="F63" s="4" t="s">
        <v>1</v>
      </c>
      <c r="G63" s="4" t="s">
        <v>24</v>
      </c>
      <c r="H63" s="4" t="s">
        <v>13</v>
      </c>
      <c r="I63" s="4" t="s">
        <v>14</v>
      </c>
      <c r="J63" s="4" t="s">
        <v>26</v>
      </c>
      <c r="K63" s="4" t="s">
        <v>2</v>
      </c>
    </row>
    <row r="64" spans="1:15" x14ac:dyDescent="0.3">
      <c r="B64" s="9" t="s">
        <v>1</v>
      </c>
      <c r="C64" s="7" t="s">
        <v>5</v>
      </c>
      <c r="D64" s="5">
        <v>20</v>
      </c>
      <c r="E64" s="5">
        <f>E66*0.12+E49</f>
        <v>0.3</v>
      </c>
      <c r="F64" s="5">
        <f t="shared" ref="F64:K64" si="8">F66*0.12+F49</f>
        <v>1</v>
      </c>
      <c r="G64" s="5">
        <f t="shared" si="8"/>
        <v>0</v>
      </c>
      <c r="H64" s="5">
        <f t="shared" si="8"/>
        <v>0.2</v>
      </c>
      <c r="I64" s="5">
        <f t="shared" si="8"/>
        <v>0</v>
      </c>
      <c r="J64" s="5">
        <f t="shared" si="8"/>
        <v>-0.3</v>
      </c>
      <c r="K64" s="5">
        <f t="shared" si="8"/>
        <v>55</v>
      </c>
      <c r="M64" t="s">
        <v>55</v>
      </c>
    </row>
    <row r="65" spans="2:13" x14ac:dyDescent="0.3">
      <c r="B65" s="9" t="s">
        <v>14</v>
      </c>
      <c r="C65" s="7" t="s">
        <v>6</v>
      </c>
      <c r="D65" s="5">
        <v>0</v>
      </c>
      <c r="E65" s="5">
        <f>E66*0.72+E50</f>
        <v>1.7999999999999998</v>
      </c>
      <c r="F65" s="5">
        <f t="shared" ref="F65:K65" si="9">F66*0.72+F50</f>
        <v>0</v>
      </c>
      <c r="G65" s="5">
        <f t="shared" si="9"/>
        <v>0</v>
      </c>
      <c r="H65" s="5">
        <f t="shared" si="9"/>
        <v>-0.8</v>
      </c>
      <c r="I65" s="5">
        <f t="shared" si="9"/>
        <v>1</v>
      </c>
      <c r="J65" s="5">
        <f t="shared" si="9"/>
        <v>1.1999999999999997</v>
      </c>
      <c r="K65" s="5">
        <f t="shared" si="9"/>
        <v>130</v>
      </c>
      <c r="M65" t="s">
        <v>56</v>
      </c>
    </row>
    <row r="66" spans="2:13" x14ac:dyDescent="0.3">
      <c r="B66" s="9" t="s">
        <v>24</v>
      </c>
      <c r="C66" s="7" t="s">
        <v>25</v>
      </c>
      <c r="D66" s="5">
        <v>25</v>
      </c>
      <c r="E66" s="5">
        <f>E51/0.4</f>
        <v>2.5</v>
      </c>
      <c r="F66" s="5">
        <f t="shared" ref="F66:K66" si="10">F51/0.4</f>
        <v>0</v>
      </c>
      <c r="G66" s="5">
        <f t="shared" si="10"/>
        <v>1</v>
      </c>
      <c r="H66" s="5">
        <f t="shared" si="10"/>
        <v>0</v>
      </c>
      <c r="I66" s="5">
        <f t="shared" si="10"/>
        <v>0</v>
      </c>
      <c r="J66" s="5">
        <f t="shared" si="10"/>
        <v>0.5</v>
      </c>
      <c r="K66" s="5">
        <f t="shared" si="10"/>
        <v>75</v>
      </c>
      <c r="M66" t="s">
        <v>57</v>
      </c>
    </row>
    <row r="67" spans="2:13" x14ac:dyDescent="0.3">
      <c r="D67" s="7" t="s">
        <v>16</v>
      </c>
      <c r="E67" s="5">
        <f>$D64*E64+$D65*E65+$D66*E66</f>
        <v>68.5</v>
      </c>
      <c r="F67" s="5">
        <f t="shared" ref="F67:K67" si="11">$D64*F64+$D65*F65+$D66*F66</f>
        <v>20</v>
      </c>
      <c r="G67" s="5">
        <f t="shared" si="11"/>
        <v>25</v>
      </c>
      <c r="H67" s="5">
        <f t="shared" si="11"/>
        <v>4</v>
      </c>
      <c r="I67" s="5">
        <f t="shared" si="11"/>
        <v>0</v>
      </c>
      <c r="J67" s="5">
        <f t="shared" si="11"/>
        <v>6.5</v>
      </c>
      <c r="K67" s="5">
        <f t="shared" si="11"/>
        <v>2975</v>
      </c>
    </row>
    <row r="68" spans="2:13" x14ac:dyDescent="0.3">
      <c r="D68" s="2" t="s">
        <v>17</v>
      </c>
      <c r="E68" s="5">
        <f>50-E67</f>
        <v>-18.5</v>
      </c>
      <c r="F68" s="5">
        <f>20-F67</f>
        <v>0</v>
      </c>
      <c r="G68" s="5">
        <f>25-G67</f>
        <v>0</v>
      </c>
      <c r="H68" s="5">
        <f>0-H67</f>
        <v>-4</v>
      </c>
      <c r="I68" s="5">
        <f>0-I67</f>
        <v>0</v>
      </c>
      <c r="J68" s="5">
        <f>0-J67</f>
        <v>-6.5</v>
      </c>
    </row>
    <row r="70" spans="2:13" x14ac:dyDescent="0.3">
      <c r="D70" t="s">
        <v>0</v>
      </c>
      <c r="E70">
        <v>0</v>
      </c>
    </row>
    <row r="71" spans="2:13" x14ac:dyDescent="0.3">
      <c r="D71" s="1" t="s">
        <v>1</v>
      </c>
      <c r="E71" s="1">
        <v>55</v>
      </c>
    </row>
    <row r="72" spans="2:13" x14ac:dyDescent="0.3">
      <c r="D72" s="1" t="s">
        <v>24</v>
      </c>
      <c r="E72" s="1">
        <v>75</v>
      </c>
    </row>
    <row r="73" spans="2:13" x14ac:dyDescent="0.3">
      <c r="D73" t="s">
        <v>13</v>
      </c>
      <c r="E73">
        <v>0</v>
      </c>
    </row>
    <row r="74" spans="2:13" x14ac:dyDescent="0.3">
      <c r="D74" s="1" t="s">
        <v>14</v>
      </c>
      <c r="E74" s="1">
        <v>130</v>
      </c>
    </row>
    <row r="75" spans="2:13" x14ac:dyDescent="0.3">
      <c r="D75" t="s">
        <v>26</v>
      </c>
      <c r="E75"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C06A5-B980-4732-988B-0B9A15C55721}">
  <dimension ref="A3:N59"/>
  <sheetViews>
    <sheetView tabSelected="1" workbookViewId="0">
      <selection activeCell="A3" sqref="A3:H11"/>
    </sheetView>
  </sheetViews>
  <sheetFormatPr defaultRowHeight="14.4" x14ac:dyDescent="0.3"/>
  <cols>
    <col min="1" max="1" width="25.88671875" customWidth="1"/>
    <col min="3" max="3" width="6.109375" customWidth="1"/>
    <col min="4" max="4" width="8" customWidth="1"/>
  </cols>
  <sheetData>
    <row r="3" spans="1:6" x14ac:dyDescent="0.3">
      <c r="B3" s="4" t="s">
        <v>0</v>
      </c>
      <c r="C3" s="4" t="s">
        <v>1</v>
      </c>
      <c r="D3" s="4"/>
      <c r="E3" s="4" t="s">
        <v>2</v>
      </c>
    </row>
    <row r="4" spans="1:6" x14ac:dyDescent="0.3">
      <c r="A4" s="1" t="s">
        <v>3</v>
      </c>
      <c r="B4" s="5">
        <v>1</v>
      </c>
      <c r="C4" s="5">
        <v>0</v>
      </c>
      <c r="D4" s="5">
        <f>SUMPRODUCT(B4:C4,B8:C8)</f>
        <v>1</v>
      </c>
      <c r="E4" s="5">
        <v>4</v>
      </c>
    </row>
    <row r="5" spans="1:6" x14ac:dyDescent="0.3">
      <c r="B5" s="11">
        <v>0</v>
      </c>
      <c r="C5" s="11">
        <v>2</v>
      </c>
      <c r="D5" s="11">
        <f>SUMPRODUCT(B5:C5,B8:C8)</f>
        <v>2</v>
      </c>
      <c r="E5" s="11">
        <v>12</v>
      </c>
    </row>
    <row r="6" spans="1:6" x14ac:dyDescent="0.3">
      <c r="B6" s="10">
        <v>3</v>
      </c>
      <c r="C6" s="10">
        <v>2</v>
      </c>
      <c r="D6" s="10">
        <f>SUMPRODUCT(B6:C6,B8:C8)</f>
        <v>5</v>
      </c>
      <c r="E6" s="10">
        <v>18</v>
      </c>
    </row>
    <row r="8" spans="1:6" x14ac:dyDescent="0.3">
      <c r="A8" s="1" t="s">
        <v>4</v>
      </c>
      <c r="B8" s="5">
        <v>1</v>
      </c>
      <c r="C8" s="5">
        <v>1</v>
      </c>
    </row>
    <row r="10" spans="1:6" x14ac:dyDescent="0.3">
      <c r="B10" s="4" t="s">
        <v>5</v>
      </c>
      <c r="C10" s="4" t="s">
        <v>6</v>
      </c>
    </row>
    <row r="11" spans="1:6" x14ac:dyDescent="0.3">
      <c r="A11" s="1" t="s">
        <v>7</v>
      </c>
      <c r="B11" s="5">
        <v>3</v>
      </c>
      <c r="C11" s="5">
        <v>5</v>
      </c>
      <c r="E11" s="6" t="s">
        <v>8</v>
      </c>
      <c r="F11" s="5">
        <f>SUMPRODUCT(B11:C11,B8:C8)</f>
        <v>8</v>
      </c>
    </row>
    <row r="14" spans="1:6" x14ac:dyDescent="0.3">
      <c r="B14" s="3" t="s">
        <v>9</v>
      </c>
      <c r="C14">
        <v>2</v>
      </c>
    </row>
    <row r="15" spans="1:6" x14ac:dyDescent="0.3">
      <c r="B15" s="3" t="s">
        <v>10</v>
      </c>
      <c r="C15">
        <v>2</v>
      </c>
    </row>
    <row r="17" spans="1:12" x14ac:dyDescent="0.3">
      <c r="A17" s="1" t="s">
        <v>11</v>
      </c>
    </row>
    <row r="18" spans="1:12" x14ac:dyDescent="0.3">
      <c r="B18" s="4" t="s">
        <v>12</v>
      </c>
      <c r="E18" s="4" t="s">
        <v>0</v>
      </c>
      <c r="F18" s="8" t="s">
        <v>1</v>
      </c>
      <c r="G18" s="4" t="s">
        <v>13</v>
      </c>
      <c r="H18" s="4" t="s">
        <v>14</v>
      </c>
      <c r="I18" s="4" t="s">
        <v>26</v>
      </c>
      <c r="J18" s="4" t="s">
        <v>2</v>
      </c>
      <c r="L18" s="4" t="s">
        <v>15</v>
      </c>
    </row>
    <row r="19" spans="1:12" x14ac:dyDescent="0.3">
      <c r="B19" s="9" t="s">
        <v>13</v>
      </c>
      <c r="C19" s="7"/>
      <c r="D19" s="5">
        <v>0</v>
      </c>
      <c r="E19" s="5">
        <v>1</v>
      </c>
      <c r="F19" s="5">
        <v>0</v>
      </c>
      <c r="G19" s="5">
        <v>1</v>
      </c>
      <c r="H19" s="5">
        <v>0</v>
      </c>
      <c r="I19" s="5">
        <v>0</v>
      </c>
      <c r="J19" s="5">
        <v>4</v>
      </c>
      <c r="L19" s="5" t="s">
        <v>58</v>
      </c>
    </row>
    <row r="20" spans="1:12" x14ac:dyDescent="0.3">
      <c r="B20" s="8" t="s">
        <v>14</v>
      </c>
      <c r="C20" s="7"/>
      <c r="D20" s="5">
        <v>0</v>
      </c>
      <c r="E20" s="5">
        <v>0</v>
      </c>
      <c r="F20" s="8">
        <v>2</v>
      </c>
      <c r="G20" s="5">
        <v>0</v>
      </c>
      <c r="H20" s="5">
        <v>1</v>
      </c>
      <c r="I20" s="5">
        <v>0</v>
      </c>
      <c r="J20" s="5">
        <v>12</v>
      </c>
      <c r="L20" s="8">
        <f>J20/F20</f>
        <v>6</v>
      </c>
    </row>
    <row r="21" spans="1:12" x14ac:dyDescent="0.3">
      <c r="B21" s="9" t="s">
        <v>26</v>
      </c>
      <c r="D21" s="5">
        <v>0</v>
      </c>
      <c r="E21" s="5">
        <v>3</v>
      </c>
      <c r="F21" s="5">
        <v>2</v>
      </c>
      <c r="G21" s="5">
        <v>0</v>
      </c>
      <c r="H21" s="5">
        <v>0</v>
      </c>
      <c r="I21" s="5">
        <v>1</v>
      </c>
      <c r="J21" s="5">
        <v>18</v>
      </c>
      <c r="L21" s="5">
        <f>J21/F21</f>
        <v>9</v>
      </c>
    </row>
    <row r="22" spans="1:12" x14ac:dyDescent="0.3">
      <c r="D22" s="7"/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</row>
    <row r="23" spans="1:12" x14ac:dyDescent="0.3">
      <c r="D23" s="2"/>
      <c r="E23" s="5">
        <v>3</v>
      </c>
      <c r="F23" s="8">
        <v>5</v>
      </c>
      <c r="G23" s="5">
        <v>0</v>
      </c>
      <c r="H23" s="5">
        <v>0</v>
      </c>
      <c r="I23" s="5">
        <v>0</v>
      </c>
      <c r="J23" s="5"/>
    </row>
    <row r="25" spans="1:12" x14ac:dyDescent="0.3">
      <c r="D25" t="s">
        <v>0</v>
      </c>
      <c r="E25">
        <v>0</v>
      </c>
    </row>
    <row r="26" spans="1:12" x14ac:dyDescent="0.3">
      <c r="D26" t="s">
        <v>1</v>
      </c>
      <c r="E26">
        <v>0</v>
      </c>
    </row>
    <row r="27" spans="1:12" x14ac:dyDescent="0.3">
      <c r="D27" t="s">
        <v>13</v>
      </c>
      <c r="E27">
        <v>4</v>
      </c>
    </row>
    <row r="28" spans="1:12" x14ac:dyDescent="0.3">
      <c r="D28" t="s">
        <v>14</v>
      </c>
      <c r="E28">
        <v>12</v>
      </c>
    </row>
    <row r="29" spans="1:12" x14ac:dyDescent="0.3">
      <c r="D29" t="s">
        <v>26</v>
      </c>
      <c r="E29">
        <v>18</v>
      </c>
    </row>
    <row r="32" spans="1:12" x14ac:dyDescent="0.3">
      <c r="A32" s="1" t="s">
        <v>18</v>
      </c>
    </row>
    <row r="33" spans="1:14" x14ac:dyDescent="0.3">
      <c r="B33" s="4" t="s">
        <v>12</v>
      </c>
      <c r="E33" s="4" t="s">
        <v>0</v>
      </c>
      <c r="F33" s="4" t="s">
        <v>1</v>
      </c>
      <c r="G33" s="4" t="s">
        <v>13</v>
      </c>
      <c r="H33" s="4" t="s">
        <v>14</v>
      </c>
      <c r="I33" s="4" t="s">
        <v>26</v>
      </c>
      <c r="J33" s="4" t="s">
        <v>2</v>
      </c>
      <c r="N33" t="s">
        <v>15</v>
      </c>
    </row>
    <row r="34" spans="1:14" x14ac:dyDescent="0.3">
      <c r="B34" s="9" t="s">
        <v>13</v>
      </c>
      <c r="C34" s="7"/>
      <c r="D34" s="5">
        <v>0</v>
      </c>
      <c r="E34" s="5">
        <f>E19</f>
        <v>1</v>
      </c>
      <c r="F34" s="5">
        <f t="shared" ref="F34:J34" si="0">F19</f>
        <v>0</v>
      </c>
      <c r="G34" s="5">
        <f t="shared" si="0"/>
        <v>1</v>
      </c>
      <c r="H34" s="5">
        <f t="shared" si="0"/>
        <v>0</v>
      </c>
      <c r="I34" s="5">
        <f t="shared" si="0"/>
        <v>0</v>
      </c>
      <c r="J34" s="5">
        <f t="shared" si="0"/>
        <v>4</v>
      </c>
      <c r="L34" t="s">
        <v>36</v>
      </c>
      <c r="N34">
        <f>J34/E34</f>
        <v>4</v>
      </c>
    </row>
    <row r="35" spans="1:14" x14ac:dyDescent="0.3">
      <c r="B35" s="9" t="s">
        <v>1</v>
      </c>
      <c r="C35" s="7"/>
      <c r="D35" s="5">
        <v>5</v>
      </c>
      <c r="E35" s="5">
        <f>E20/$F20</f>
        <v>0</v>
      </c>
      <c r="F35" s="5">
        <f t="shared" ref="F35:J35" si="1">F20/$F20</f>
        <v>1</v>
      </c>
      <c r="G35" s="5">
        <f t="shared" si="1"/>
        <v>0</v>
      </c>
      <c r="H35" s="5">
        <f t="shared" si="1"/>
        <v>0.5</v>
      </c>
      <c r="I35" s="5">
        <f t="shared" si="1"/>
        <v>0</v>
      </c>
      <c r="J35" s="5">
        <f t="shared" si="1"/>
        <v>6</v>
      </c>
      <c r="L35" t="s">
        <v>59</v>
      </c>
      <c r="N35" t="s">
        <v>60</v>
      </c>
    </row>
    <row r="36" spans="1:14" x14ac:dyDescent="0.3">
      <c r="B36" s="9" t="s">
        <v>26</v>
      </c>
      <c r="D36" s="5">
        <v>0</v>
      </c>
      <c r="E36" s="8">
        <f>E21-E20</f>
        <v>3</v>
      </c>
      <c r="F36" s="5">
        <f t="shared" ref="F36:J36" si="2">F21-F20</f>
        <v>0</v>
      </c>
      <c r="G36" s="5">
        <f t="shared" si="2"/>
        <v>0</v>
      </c>
      <c r="H36" s="5">
        <f t="shared" si="2"/>
        <v>-1</v>
      </c>
      <c r="I36" s="5">
        <f t="shared" si="2"/>
        <v>1</v>
      </c>
      <c r="J36" s="5">
        <f t="shared" si="2"/>
        <v>6</v>
      </c>
      <c r="L36" t="s">
        <v>61</v>
      </c>
      <c r="N36" s="8">
        <f>J36/E36</f>
        <v>2</v>
      </c>
    </row>
    <row r="37" spans="1:14" x14ac:dyDescent="0.3">
      <c r="D37" s="7"/>
      <c r="E37" s="5">
        <f>D34*E34+D35*E35+D36*E36</f>
        <v>0</v>
      </c>
      <c r="F37" s="5">
        <f>D34*F34+D35*F35+D36*F36</f>
        <v>5</v>
      </c>
      <c r="G37" s="5">
        <f>D34*G34+D35*G35+D36*G36</f>
        <v>0</v>
      </c>
      <c r="H37" s="5">
        <f>D34+H34+D35*H35+D36*H36</f>
        <v>2.5</v>
      </c>
      <c r="I37" s="5">
        <f>D34*I34+D35*I35+D36*I36</f>
        <v>0</v>
      </c>
      <c r="J37" s="5">
        <f>D34*J34+D35*J35+D36*J36</f>
        <v>30</v>
      </c>
    </row>
    <row r="38" spans="1:14" x14ac:dyDescent="0.3">
      <c r="D38" s="2"/>
      <c r="E38" s="8">
        <v>3</v>
      </c>
      <c r="F38" s="5">
        <v>0</v>
      </c>
      <c r="G38" s="5">
        <v>0</v>
      </c>
      <c r="H38" s="5">
        <v>-2.5</v>
      </c>
      <c r="I38" s="5">
        <v>0</v>
      </c>
      <c r="J38" s="5"/>
    </row>
    <row r="40" spans="1:14" x14ac:dyDescent="0.3">
      <c r="D40" t="s">
        <v>0</v>
      </c>
      <c r="E40">
        <v>0</v>
      </c>
    </row>
    <row r="41" spans="1:14" x14ac:dyDescent="0.3">
      <c r="D41" t="s">
        <v>1</v>
      </c>
      <c r="E41">
        <v>6</v>
      </c>
    </row>
    <row r="42" spans="1:14" x14ac:dyDescent="0.3">
      <c r="D42" t="s">
        <v>13</v>
      </c>
      <c r="E42">
        <v>4</v>
      </c>
    </row>
    <row r="43" spans="1:14" x14ac:dyDescent="0.3">
      <c r="D43" t="s">
        <v>14</v>
      </c>
      <c r="E43">
        <v>0</v>
      </c>
    </row>
    <row r="44" spans="1:14" x14ac:dyDescent="0.3">
      <c r="D44" t="s">
        <v>26</v>
      </c>
      <c r="E44">
        <v>6</v>
      </c>
    </row>
    <row r="47" spans="1:14" x14ac:dyDescent="0.3">
      <c r="A47" s="1" t="s">
        <v>21</v>
      </c>
    </row>
    <row r="48" spans="1:14" x14ac:dyDescent="0.3">
      <c r="B48" s="4" t="s">
        <v>12</v>
      </c>
      <c r="E48" s="4" t="s">
        <v>0</v>
      </c>
      <c r="F48" s="4" t="s">
        <v>1</v>
      </c>
      <c r="G48" s="4" t="s">
        <v>13</v>
      </c>
      <c r="H48" s="4" t="s">
        <v>14</v>
      </c>
      <c r="I48" s="4" t="s">
        <v>26</v>
      </c>
      <c r="J48" s="4" t="s">
        <v>2</v>
      </c>
    </row>
    <row r="49" spans="2:12" x14ac:dyDescent="0.3">
      <c r="B49" s="9" t="s">
        <v>13</v>
      </c>
      <c r="C49" s="7"/>
      <c r="D49" s="5">
        <v>0</v>
      </c>
      <c r="E49" s="5">
        <f>E34-E51</f>
        <v>0</v>
      </c>
      <c r="F49" s="5">
        <f t="shared" ref="F49:J49" si="3">F34-F51</f>
        <v>0</v>
      </c>
      <c r="G49" s="5">
        <f t="shared" si="3"/>
        <v>1</v>
      </c>
      <c r="H49" s="5">
        <f t="shared" si="3"/>
        <v>0.33333333333333331</v>
      </c>
      <c r="I49" s="5">
        <f t="shared" si="3"/>
        <v>-0.33333333333333331</v>
      </c>
      <c r="J49" s="5">
        <f t="shared" si="3"/>
        <v>2</v>
      </c>
      <c r="L49" t="s">
        <v>62</v>
      </c>
    </row>
    <row r="50" spans="2:12" x14ac:dyDescent="0.3">
      <c r="B50" s="9" t="s">
        <v>1</v>
      </c>
      <c r="C50" s="7"/>
      <c r="D50" s="5">
        <v>5</v>
      </c>
      <c r="E50" s="5">
        <f>E35</f>
        <v>0</v>
      </c>
      <c r="F50" s="5">
        <f t="shared" ref="F50:J50" si="4">F35</f>
        <v>1</v>
      </c>
      <c r="G50" s="5">
        <f t="shared" si="4"/>
        <v>0</v>
      </c>
      <c r="H50" s="5">
        <f t="shared" si="4"/>
        <v>0.5</v>
      </c>
      <c r="I50" s="5">
        <f t="shared" si="4"/>
        <v>0</v>
      </c>
      <c r="J50" s="5">
        <f t="shared" si="4"/>
        <v>6</v>
      </c>
      <c r="L50" t="s">
        <v>44</v>
      </c>
    </row>
    <row r="51" spans="2:12" x14ac:dyDescent="0.3">
      <c r="B51" s="9" t="s">
        <v>0</v>
      </c>
      <c r="D51" s="5">
        <v>3</v>
      </c>
      <c r="E51" s="5">
        <f>E36/3</f>
        <v>1</v>
      </c>
      <c r="F51" s="5">
        <f t="shared" ref="F51:J51" si="5">F36/3</f>
        <v>0</v>
      </c>
      <c r="G51" s="5">
        <f t="shared" si="5"/>
        <v>0</v>
      </c>
      <c r="H51" s="5">
        <f t="shared" si="5"/>
        <v>-0.33333333333333331</v>
      </c>
      <c r="I51" s="5">
        <f t="shared" si="5"/>
        <v>0.33333333333333331</v>
      </c>
      <c r="J51" s="5">
        <f t="shared" si="5"/>
        <v>2</v>
      </c>
      <c r="L51" t="s">
        <v>63</v>
      </c>
    </row>
    <row r="52" spans="2:12" x14ac:dyDescent="0.3">
      <c r="D52" s="7"/>
      <c r="E52" s="5">
        <f>SUMPRODUCT(D49:D51,E49:E51)</f>
        <v>3</v>
      </c>
      <c r="F52" s="5">
        <f>SUMPRODUCT(D49:D51,F49:F51)</f>
        <v>5</v>
      </c>
      <c r="G52" s="5">
        <f ca="1">SUMPRODUCT(D49:D51,G49:G52)</f>
        <v>0</v>
      </c>
      <c r="H52" s="5">
        <f>SUMPRODUCT(D49:D51,H49:H51)</f>
        <v>1.5</v>
      </c>
      <c r="I52" s="5">
        <f>SUMPRODUCT(D49:D51,I49:I51)</f>
        <v>1</v>
      </c>
      <c r="J52" s="5">
        <f>SUMPRODUCT(D49:D51,J49:J51)</f>
        <v>36</v>
      </c>
    </row>
    <row r="53" spans="2:12" x14ac:dyDescent="0.3">
      <c r="D53" s="2"/>
      <c r="E53" s="5">
        <f>3-E52</f>
        <v>0</v>
      </c>
      <c r="F53" s="5">
        <f>5-F52</f>
        <v>0</v>
      </c>
      <c r="G53" s="5">
        <f ca="1">0-G52</f>
        <v>0</v>
      </c>
      <c r="H53" s="5">
        <f>0-H52</f>
        <v>-1.5</v>
      </c>
      <c r="I53" s="5">
        <f>0-I52</f>
        <v>-1</v>
      </c>
      <c r="J53" s="5"/>
    </row>
    <row r="55" spans="2:12" x14ac:dyDescent="0.3">
      <c r="D55" t="s">
        <v>0</v>
      </c>
      <c r="E55">
        <v>2</v>
      </c>
    </row>
    <row r="56" spans="2:12" x14ac:dyDescent="0.3">
      <c r="D56" t="s">
        <v>1</v>
      </c>
      <c r="E56">
        <v>6</v>
      </c>
    </row>
    <row r="57" spans="2:12" x14ac:dyDescent="0.3">
      <c r="D57" t="s">
        <v>13</v>
      </c>
      <c r="E57">
        <v>2</v>
      </c>
    </row>
    <row r="58" spans="2:12" x14ac:dyDescent="0.3">
      <c r="D58" t="s">
        <v>14</v>
      </c>
      <c r="E58">
        <v>0</v>
      </c>
    </row>
    <row r="59" spans="2:12" x14ac:dyDescent="0.3">
      <c r="D59" t="s">
        <v>26</v>
      </c>
      <c r="E5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Simplex-exemplo1</vt:lpstr>
      <vt:lpstr>Simplex-exemplo2</vt:lpstr>
      <vt:lpstr>Simplex-exercicio1</vt:lpstr>
      <vt:lpstr>Simplex-exercicio2</vt:lpstr>
      <vt:lpstr>Simplex-exercicio3</vt:lpstr>
      <vt:lpstr>Simplex-exercicio4</vt:lpstr>
      <vt:lpstr>Simplex-exercicio1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Clayton Silva</dc:creator>
  <cp:keywords/>
  <dc:description/>
  <cp:lastModifiedBy>Clayton Silva</cp:lastModifiedBy>
  <cp:revision/>
  <dcterms:created xsi:type="dcterms:W3CDTF">2026-08-24T17:36:16Z</dcterms:created>
  <dcterms:modified xsi:type="dcterms:W3CDTF">2026-09-14T13:42:37Z</dcterms:modified>
  <cp:category/>
  <cp:contentStatus/>
</cp:coreProperties>
</file>