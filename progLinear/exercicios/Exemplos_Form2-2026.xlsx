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CLIENTES/IBMEC/ENSINO/Disciplina Programação Linear/"/>
    </mc:Choice>
  </mc:AlternateContent>
  <xr:revisionPtr revIDLastSave="1436" documentId="8_{DE438C06-8D59-460A-A782-4FCA6206D474}" xr6:coauthVersionLast="47" xr6:coauthVersionMax="47" xr10:uidLastSave="{CE0F6D3F-E32F-4CED-BBDF-054A3C3622D1}"/>
  <bookViews>
    <workbookView xWindow="-108" yWindow="-108" windowWidth="23256" windowHeight="12456" activeTab="4" xr2:uid="{BC4CC188-7A29-4ECC-830A-209069F6CA88}"/>
  </bookViews>
  <sheets>
    <sheet name="Questão1" sheetId="1" r:id="rId1"/>
    <sheet name="Questão2" sheetId="3" r:id="rId2"/>
    <sheet name="Questão3" sheetId="4" r:id="rId3"/>
    <sheet name="Questão4" sheetId="6" r:id="rId4"/>
    <sheet name="Simplex-exemplo1" sheetId="7" r:id="rId5"/>
    <sheet name="Simplex-exemplo2" sheetId="8" r:id="rId6"/>
  </sheets>
  <definedNames>
    <definedName name="solver_adj" localSheetId="1" hidden="1">Questão2!$F$21:$Q$21</definedName>
    <definedName name="solver_adj" localSheetId="2" hidden="1">Questão3!$F$14:$H$14</definedName>
    <definedName name="solver_adj" localSheetId="3" hidden="1">Questão4!$F$13:$G$13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0" localSheetId="2" hidden="1">Questão3!$J$12</definedName>
    <definedName name="solver_lhs0" localSheetId="3" hidden="1">Questão4!$I$11</definedName>
    <definedName name="solver_lhs1" localSheetId="1" hidden="1">Questão2!$S$10</definedName>
    <definedName name="solver_lhs1" localSheetId="2" hidden="1">Questão3!$J$10</definedName>
    <definedName name="solver_lhs1" localSheetId="3" hidden="1">Questão4!$I$10</definedName>
    <definedName name="solver_lhs10" localSheetId="1" hidden="1">Questão2!$S$19</definedName>
    <definedName name="solver_lhs10" localSheetId="2" hidden="1">Questão3!$J$12</definedName>
    <definedName name="solver_lhs10" localSheetId="3" hidden="1">Questão4!#REF!</definedName>
    <definedName name="solver_lhs2" localSheetId="1" hidden="1">Questão2!$S$11</definedName>
    <definedName name="solver_lhs2" localSheetId="2" hidden="1">Questão3!$J$11</definedName>
    <definedName name="solver_lhs2" localSheetId="3" hidden="1">Questão4!$I$11</definedName>
    <definedName name="solver_lhs3" localSheetId="1" hidden="1">Questão2!$S$12</definedName>
    <definedName name="solver_lhs3" localSheetId="2" hidden="1">Questão3!$J$12</definedName>
    <definedName name="solver_lhs3" localSheetId="3" hidden="1">Questão4!#REF!</definedName>
    <definedName name="solver_lhs4" localSheetId="1" hidden="1">Questão2!$S$13</definedName>
    <definedName name="solver_lhs4" localSheetId="2" hidden="1">Questão3!$J$12</definedName>
    <definedName name="solver_lhs4" localSheetId="3" hidden="1">Questão4!#REF!</definedName>
    <definedName name="solver_lhs5" localSheetId="1" hidden="1">Questão2!$S$14</definedName>
    <definedName name="solver_lhs5" localSheetId="2" hidden="1">Questão3!$J$11</definedName>
    <definedName name="solver_lhs5" localSheetId="3" hidden="1">Questão4!$I$11</definedName>
    <definedName name="solver_lhs6" localSheetId="1" hidden="1">Questão2!$S$15</definedName>
    <definedName name="solver_lhs6" localSheetId="2" hidden="1">Questão3!$J$10</definedName>
    <definedName name="solver_lhs6" localSheetId="3" hidden="1">Questão4!$I$10</definedName>
    <definedName name="solver_lhs7" localSheetId="1" hidden="1">Questão2!$S$16</definedName>
    <definedName name="solver_lhs7" localSheetId="2" hidden="1">Questão3!#REF!</definedName>
    <definedName name="solver_lhs7" localSheetId="3" hidden="1">Questão4!#REF!</definedName>
    <definedName name="solver_lhs8" localSheetId="1" hidden="1">Questão2!$S$17</definedName>
    <definedName name="solver_lhs8" localSheetId="2" hidden="1">Questão3!$J$10</definedName>
    <definedName name="solver_lhs8" localSheetId="3" hidden="1">Questão4!$I$10</definedName>
    <definedName name="solver_lhs9" localSheetId="1" hidden="1">Questão2!$S$18</definedName>
    <definedName name="solver_lhs9" localSheetId="2" hidden="1">Questão3!$J$11</definedName>
    <definedName name="solver_lhs9" localSheetId="3" hidden="1">Questão4!$I$11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1" hidden="1">10</definedName>
    <definedName name="solver_num" localSheetId="2" hidden="1">3</definedName>
    <definedName name="solver_num" localSheetId="3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Questão2!$S$21</definedName>
    <definedName name="solver_opt" localSheetId="2" hidden="1">Questão3!$J$14</definedName>
    <definedName name="solver_opt" localSheetId="3" hidden="1">Questão4!$I$13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0" localSheetId="2" hidden="1">1</definedName>
    <definedName name="solver_rel0" localSheetId="3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0" localSheetId="1" hidden="1">1</definedName>
    <definedName name="solver_rel10" localSheetId="2" hidden="1">1</definedName>
    <definedName name="solver_rel10" localSheetId="3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4" localSheetId="1" hidden="1">1</definedName>
    <definedName name="solver_rel4" localSheetId="2" hidden="1">1</definedName>
    <definedName name="solver_rel4" localSheetId="3" hidden="1">1</definedName>
    <definedName name="solver_rel5" localSheetId="1" hidden="1">1</definedName>
    <definedName name="solver_rel5" localSheetId="2" hidden="1">1</definedName>
    <definedName name="solver_rel5" localSheetId="3" hidden="1">1</definedName>
    <definedName name="solver_rel6" localSheetId="1" hidden="1">1</definedName>
    <definedName name="solver_rel6" localSheetId="2" hidden="1">1</definedName>
    <definedName name="solver_rel6" localSheetId="3" hidden="1">1</definedName>
    <definedName name="solver_rel7" localSheetId="1" hidden="1">1</definedName>
    <definedName name="solver_rel7" localSheetId="2" hidden="1">1</definedName>
    <definedName name="solver_rel7" localSheetId="3" hidden="1">1</definedName>
    <definedName name="solver_rel8" localSheetId="1" hidden="1">1</definedName>
    <definedName name="solver_rel8" localSheetId="2" hidden="1">1</definedName>
    <definedName name="solver_rel8" localSheetId="3" hidden="1">1</definedName>
    <definedName name="solver_rel9" localSheetId="1" hidden="1">1</definedName>
    <definedName name="solver_rel9" localSheetId="2" hidden="1">1</definedName>
    <definedName name="solver_rel9" localSheetId="3" hidden="1">1</definedName>
    <definedName name="solver_rhs0" localSheetId="2" hidden="1">Questão3!$N$12</definedName>
    <definedName name="solver_rhs0" localSheetId="3" hidden="1">Questão4!$M$11</definedName>
    <definedName name="solver_rhs1" localSheetId="1" hidden="1">Questão2!$W$10</definedName>
    <definedName name="solver_rhs1" localSheetId="2" hidden="1">Questão3!$N$10</definedName>
    <definedName name="solver_rhs1" localSheetId="3" hidden="1">Questão4!$M$10</definedName>
    <definedName name="solver_rhs10" localSheetId="1" hidden="1">Questão2!$W$19</definedName>
    <definedName name="solver_rhs10" localSheetId="2" hidden="1">Questão3!$N$12</definedName>
    <definedName name="solver_rhs10" localSheetId="3" hidden="1">Questão4!#REF!</definedName>
    <definedName name="solver_rhs2" localSheetId="1" hidden="1">Questão2!$W$11</definedName>
    <definedName name="solver_rhs2" localSheetId="2" hidden="1">Questão3!$N$11</definedName>
    <definedName name="solver_rhs2" localSheetId="3" hidden="1">Questão4!$M$11</definedName>
    <definedName name="solver_rhs3" localSheetId="1" hidden="1">Questão2!$W$12</definedName>
    <definedName name="solver_rhs3" localSheetId="2" hidden="1">Questão3!$N$12</definedName>
    <definedName name="solver_rhs3" localSheetId="3" hidden="1">Questão4!#REF!</definedName>
    <definedName name="solver_rhs4" localSheetId="1" hidden="1">Questão2!$W$13</definedName>
    <definedName name="solver_rhs4" localSheetId="2" hidden="1">Questão3!$N$12</definedName>
    <definedName name="solver_rhs4" localSheetId="3" hidden="1">Questão4!#REF!</definedName>
    <definedName name="solver_rhs5" localSheetId="1" hidden="1">Questão2!$W$14</definedName>
    <definedName name="solver_rhs5" localSheetId="2" hidden="1">Questão3!$N$11</definedName>
    <definedName name="solver_rhs5" localSheetId="3" hidden="1">Questão4!$M$11</definedName>
    <definedName name="solver_rhs6" localSheetId="1" hidden="1">Questão2!$W$15</definedName>
    <definedName name="solver_rhs6" localSheetId="2" hidden="1">Questão3!$N$10</definedName>
    <definedName name="solver_rhs6" localSheetId="3" hidden="1">Questão4!$M$10</definedName>
    <definedName name="solver_rhs7" localSheetId="1" hidden="1">Questão2!$W$16</definedName>
    <definedName name="solver_rhs7" localSheetId="2" hidden="1">Questão3!#REF!</definedName>
    <definedName name="solver_rhs7" localSheetId="3" hidden="1">Questão4!#REF!</definedName>
    <definedName name="solver_rhs8" localSheetId="1" hidden="1">Questão2!$W$17</definedName>
    <definedName name="solver_rhs8" localSheetId="2" hidden="1">Questão3!$N$10</definedName>
    <definedName name="solver_rhs8" localSheetId="3" hidden="1">Questão4!$M$10</definedName>
    <definedName name="solver_rhs9" localSheetId="1" hidden="1">Questão2!$W$18</definedName>
    <definedName name="solver_rhs9" localSheetId="2" hidden="1">Questão3!$N$11</definedName>
    <definedName name="solver_rhs9" localSheetId="3" hidden="1">Questão4!$M$11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" i="7" l="1"/>
  <c r="I20" i="7"/>
  <c r="K20" i="7"/>
  <c r="H20" i="7" s="1"/>
  <c r="F24" i="8"/>
  <c r="L23" i="8"/>
  <c r="K23" i="8"/>
  <c r="J23" i="8"/>
  <c r="I23" i="8"/>
  <c r="H23" i="8"/>
  <c r="G23" i="8"/>
  <c r="F23" i="8"/>
  <c r="M23" i="8"/>
  <c r="F21" i="8"/>
  <c r="L22" i="8"/>
  <c r="L21" i="8" s="1"/>
  <c r="K22" i="8"/>
  <c r="K21" i="8" s="1"/>
  <c r="J22" i="8"/>
  <c r="J21" i="8" s="1"/>
  <c r="I22" i="8"/>
  <c r="H22" i="8"/>
  <c r="F22" i="8"/>
  <c r="J19" i="7"/>
  <c r="I19" i="7"/>
  <c r="H19" i="7"/>
  <c r="G19" i="7"/>
  <c r="G20" i="7" s="1"/>
  <c r="H21" i="8"/>
  <c r="G21" i="8"/>
  <c r="M21" i="8"/>
  <c r="I21" i="8"/>
  <c r="N16" i="8"/>
  <c r="N15" i="8"/>
  <c r="N14" i="8"/>
  <c r="M15" i="7"/>
  <c r="M14" i="7"/>
  <c r="I13" i="6"/>
  <c r="G10" i="6"/>
  <c r="F10" i="6"/>
  <c r="I10" i="6" s="1"/>
  <c r="I11" i="6"/>
  <c r="J14" i="4"/>
  <c r="J12" i="4"/>
  <c r="J11" i="4"/>
  <c r="J10" i="4"/>
  <c r="S19" i="3"/>
  <c r="S18" i="3"/>
  <c r="S17" i="3"/>
  <c r="S16" i="3"/>
  <c r="S15" i="3"/>
  <c r="S14" i="3"/>
  <c r="S13" i="3"/>
  <c r="S12" i="3"/>
  <c r="S11" i="3"/>
  <c r="S21" i="3"/>
  <c r="S10" i="3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4" i="1"/>
  <c r="B6" i="1"/>
  <c r="B7" i="1"/>
  <c r="B8" i="1"/>
  <c r="B9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5" i="1"/>
  <c r="K24" i="7" l="1"/>
  <c r="G24" i="7" s="1"/>
  <c r="F20" i="7"/>
  <c r="H25" i="7"/>
  <c r="H24" i="7" s="1"/>
  <c r="F21" i="7"/>
  <c r="F22" i="7" s="1"/>
  <c r="J25" i="7"/>
  <c r="J24" i="7" s="1"/>
  <c r="M20" i="7"/>
  <c r="F25" i="7"/>
  <c r="F24" i="7" s="1"/>
  <c r="H21" i="7"/>
  <c r="H22" i="7" s="1"/>
  <c r="G21" i="7"/>
  <c r="G22" i="7" s="1"/>
  <c r="M19" i="7"/>
  <c r="G26" i="7"/>
  <c r="G27" i="7" s="1"/>
  <c r="I21" i="7"/>
  <c r="I22" i="7" s="1"/>
  <c r="I25" i="7" l="1"/>
  <c r="J21" i="7"/>
  <c r="F26" i="7"/>
  <c r="F27" i="7" s="1"/>
  <c r="J26" i="7"/>
  <c r="H26" i="7"/>
  <c r="H27" i="7" s="1"/>
  <c r="I24" i="7" l="1"/>
  <c r="I26" i="7" s="1"/>
  <c r="I27" i="7" s="1"/>
</calcChain>
</file>

<file path=xl/sharedStrings.xml><?xml version="1.0" encoding="utf-8"?>
<sst xmlns="http://schemas.openxmlformats.org/spreadsheetml/2006/main" count="90" uniqueCount="29">
  <si>
    <t>x2</t>
  </si>
  <si>
    <t>x1</t>
  </si>
  <si>
    <t>x3</t>
  </si>
  <si>
    <t>x1A</t>
  </si>
  <si>
    <t>x1C</t>
  </si>
  <si>
    <t>x1P</t>
  </si>
  <si>
    <t>x2A</t>
  </si>
  <si>
    <t>x2C</t>
  </si>
  <si>
    <t>x2P</t>
  </si>
  <si>
    <t>x3A</t>
  </si>
  <si>
    <t>x3C</t>
  </si>
  <si>
    <t>x3P</t>
  </si>
  <si>
    <t>x4A</t>
  </si>
  <si>
    <t>x4C</t>
  </si>
  <si>
    <t>x4P</t>
  </si>
  <si>
    <t>Máx</t>
  </si>
  <si>
    <t>Sujeito a</t>
  </si>
  <si>
    <t>QUADRO SIMPLEX</t>
  </si>
  <si>
    <t>CB</t>
  </si>
  <si>
    <t>f1</t>
  </si>
  <si>
    <t>f2</t>
  </si>
  <si>
    <t>bi</t>
  </si>
  <si>
    <t>Zi</t>
  </si>
  <si>
    <t>Ci-Zi</t>
  </si>
  <si>
    <t>QUADRO 0</t>
  </si>
  <si>
    <t>QUADRO 1</t>
  </si>
  <si>
    <t>PIVÔ</t>
  </si>
  <si>
    <t>QUADRO 2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</si>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</sst>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Fill="1" applyBorder="1"/>
    <xf numFmtId="4" fontId="0" fillId="0" borderId="0" xfId="0" applyNumberFormat="1"/>
    <xf numFmtId="0" fontId="4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5" fillId="0" borderId="11" xfId="0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Questão1!$C$4:$C$63</c:f>
              <c:numCache>
                <c:formatCode>General</c:formatCode>
                <c:ptCount val="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5-4E93-B319-20987369427B}"/>
            </c:ext>
          </c:extLst>
        </c:ser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Questão1!$D$4:$D$63</c:f>
              <c:numCache>
                <c:formatCode>General</c:formatCode>
                <c:ptCount val="60"/>
                <c:pt idx="0">
                  <c:v>12</c:v>
                </c:pt>
                <c:pt idx="1">
                  <c:v>11.8</c:v>
                </c:pt>
                <c:pt idx="2">
                  <c:v>11.6</c:v>
                </c:pt>
                <c:pt idx="3">
                  <c:v>11.4</c:v>
                </c:pt>
                <c:pt idx="4">
                  <c:v>11.2</c:v>
                </c:pt>
                <c:pt idx="5">
                  <c:v>11</c:v>
                </c:pt>
                <c:pt idx="6">
                  <c:v>10.8</c:v>
                </c:pt>
                <c:pt idx="7">
                  <c:v>10.6</c:v>
                </c:pt>
                <c:pt idx="8">
                  <c:v>10.4</c:v>
                </c:pt>
                <c:pt idx="9">
                  <c:v>10.199999999999999</c:v>
                </c:pt>
                <c:pt idx="10">
                  <c:v>10</c:v>
                </c:pt>
                <c:pt idx="11">
                  <c:v>9.8000000000000007</c:v>
                </c:pt>
                <c:pt idx="12">
                  <c:v>9.6</c:v>
                </c:pt>
                <c:pt idx="13">
                  <c:v>9.4</c:v>
                </c:pt>
                <c:pt idx="14">
                  <c:v>9.1999999999999993</c:v>
                </c:pt>
                <c:pt idx="15">
                  <c:v>9</c:v>
                </c:pt>
                <c:pt idx="16">
                  <c:v>8.8000000000000007</c:v>
                </c:pt>
                <c:pt idx="17">
                  <c:v>8.6</c:v>
                </c:pt>
                <c:pt idx="18">
                  <c:v>8.4</c:v>
                </c:pt>
                <c:pt idx="19">
                  <c:v>8.1999999999999993</c:v>
                </c:pt>
                <c:pt idx="20">
                  <c:v>8</c:v>
                </c:pt>
                <c:pt idx="21">
                  <c:v>7.8</c:v>
                </c:pt>
                <c:pt idx="22">
                  <c:v>7.6</c:v>
                </c:pt>
                <c:pt idx="23">
                  <c:v>7.4</c:v>
                </c:pt>
                <c:pt idx="24">
                  <c:v>7.2</c:v>
                </c:pt>
                <c:pt idx="25">
                  <c:v>7</c:v>
                </c:pt>
                <c:pt idx="26">
                  <c:v>6.8</c:v>
                </c:pt>
                <c:pt idx="27">
                  <c:v>6.6</c:v>
                </c:pt>
                <c:pt idx="28">
                  <c:v>6.4</c:v>
                </c:pt>
                <c:pt idx="29">
                  <c:v>6.2</c:v>
                </c:pt>
                <c:pt idx="30">
                  <c:v>6</c:v>
                </c:pt>
                <c:pt idx="31">
                  <c:v>5.8</c:v>
                </c:pt>
                <c:pt idx="32">
                  <c:v>5.6</c:v>
                </c:pt>
                <c:pt idx="33">
                  <c:v>5.4</c:v>
                </c:pt>
                <c:pt idx="34">
                  <c:v>5.2</c:v>
                </c:pt>
                <c:pt idx="35">
                  <c:v>5</c:v>
                </c:pt>
                <c:pt idx="36">
                  <c:v>4.8</c:v>
                </c:pt>
                <c:pt idx="37">
                  <c:v>4.5999999999999996</c:v>
                </c:pt>
                <c:pt idx="38">
                  <c:v>4.4000000000000004</c:v>
                </c:pt>
                <c:pt idx="39">
                  <c:v>4.2</c:v>
                </c:pt>
                <c:pt idx="40">
                  <c:v>4</c:v>
                </c:pt>
                <c:pt idx="41">
                  <c:v>3.8</c:v>
                </c:pt>
                <c:pt idx="42">
                  <c:v>3.6</c:v>
                </c:pt>
                <c:pt idx="43">
                  <c:v>3.4</c:v>
                </c:pt>
                <c:pt idx="44">
                  <c:v>3.2</c:v>
                </c:pt>
                <c:pt idx="45">
                  <c:v>3</c:v>
                </c:pt>
                <c:pt idx="46">
                  <c:v>2.8</c:v>
                </c:pt>
                <c:pt idx="47">
                  <c:v>2.6</c:v>
                </c:pt>
                <c:pt idx="48">
                  <c:v>2.4</c:v>
                </c:pt>
                <c:pt idx="49">
                  <c:v>2.2000000000000002</c:v>
                </c:pt>
                <c:pt idx="50">
                  <c:v>2</c:v>
                </c:pt>
                <c:pt idx="51">
                  <c:v>1.8</c:v>
                </c:pt>
                <c:pt idx="52">
                  <c:v>1.6</c:v>
                </c:pt>
                <c:pt idx="53">
                  <c:v>1.4</c:v>
                </c:pt>
                <c:pt idx="54">
                  <c:v>1.2</c:v>
                </c:pt>
                <c:pt idx="55">
                  <c:v>1</c:v>
                </c:pt>
                <c:pt idx="56">
                  <c:v>0.8</c:v>
                </c:pt>
                <c:pt idx="57">
                  <c:v>0.6</c:v>
                </c:pt>
                <c:pt idx="58">
                  <c:v>0.4</c:v>
                </c:pt>
                <c:pt idx="5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5-4E93-B319-20987369427B}"/>
            </c:ext>
          </c:extLst>
        </c:ser>
        <c:ser>
          <c:idx val="2"/>
          <c:order val="2"/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Questão1!$E$4:$E$63</c:f>
              <c:numCache>
                <c:formatCode>General</c:formatCode>
                <c:ptCount val="60"/>
                <c:pt idx="0">
                  <c:v>18</c:v>
                </c:pt>
                <c:pt idx="1">
                  <c:v>17.5</c:v>
                </c:pt>
                <c:pt idx="2">
                  <c:v>17</c:v>
                </c:pt>
                <c:pt idx="3">
                  <c:v>16.5</c:v>
                </c:pt>
                <c:pt idx="4">
                  <c:v>16</c:v>
                </c:pt>
                <c:pt idx="5">
                  <c:v>15.5</c:v>
                </c:pt>
                <c:pt idx="6">
                  <c:v>15</c:v>
                </c:pt>
                <c:pt idx="7">
                  <c:v>14.5</c:v>
                </c:pt>
                <c:pt idx="8">
                  <c:v>14</c:v>
                </c:pt>
                <c:pt idx="9">
                  <c:v>13.5</c:v>
                </c:pt>
                <c:pt idx="10">
                  <c:v>13</c:v>
                </c:pt>
                <c:pt idx="11">
                  <c:v>12.5</c:v>
                </c:pt>
                <c:pt idx="12">
                  <c:v>12</c:v>
                </c:pt>
                <c:pt idx="13">
                  <c:v>11.5</c:v>
                </c:pt>
                <c:pt idx="14">
                  <c:v>11</c:v>
                </c:pt>
                <c:pt idx="15">
                  <c:v>10.5</c:v>
                </c:pt>
                <c:pt idx="16">
                  <c:v>10</c:v>
                </c:pt>
                <c:pt idx="17">
                  <c:v>9.5</c:v>
                </c:pt>
                <c:pt idx="18">
                  <c:v>9</c:v>
                </c:pt>
                <c:pt idx="19">
                  <c:v>8.5</c:v>
                </c:pt>
                <c:pt idx="20">
                  <c:v>8</c:v>
                </c:pt>
                <c:pt idx="21">
                  <c:v>7.5</c:v>
                </c:pt>
                <c:pt idx="22">
                  <c:v>7</c:v>
                </c:pt>
                <c:pt idx="23">
                  <c:v>6.5</c:v>
                </c:pt>
                <c:pt idx="24">
                  <c:v>6</c:v>
                </c:pt>
                <c:pt idx="25">
                  <c:v>5.5</c:v>
                </c:pt>
                <c:pt idx="26">
                  <c:v>5</c:v>
                </c:pt>
                <c:pt idx="27">
                  <c:v>4.5</c:v>
                </c:pt>
                <c:pt idx="28">
                  <c:v>4</c:v>
                </c:pt>
                <c:pt idx="29">
                  <c:v>3.5</c:v>
                </c:pt>
                <c:pt idx="30">
                  <c:v>3</c:v>
                </c:pt>
                <c:pt idx="31">
                  <c:v>2.5</c:v>
                </c:pt>
                <c:pt idx="32">
                  <c:v>2</c:v>
                </c:pt>
                <c:pt idx="33">
                  <c:v>1.5</c:v>
                </c:pt>
                <c:pt idx="34">
                  <c:v>1</c:v>
                </c:pt>
                <c:pt idx="35">
                  <c:v>0.5</c:v>
                </c:pt>
                <c:pt idx="36">
                  <c:v>0</c:v>
                </c:pt>
                <c:pt idx="37">
                  <c:v>-0.5</c:v>
                </c:pt>
                <c:pt idx="38">
                  <c:v>-1</c:v>
                </c:pt>
                <c:pt idx="39">
                  <c:v>-1.5</c:v>
                </c:pt>
                <c:pt idx="40">
                  <c:v>-2</c:v>
                </c:pt>
                <c:pt idx="41">
                  <c:v>-2.5</c:v>
                </c:pt>
                <c:pt idx="42">
                  <c:v>-3</c:v>
                </c:pt>
                <c:pt idx="43">
                  <c:v>-3.5</c:v>
                </c:pt>
                <c:pt idx="44">
                  <c:v>-4</c:v>
                </c:pt>
                <c:pt idx="45">
                  <c:v>-4.5</c:v>
                </c:pt>
                <c:pt idx="46">
                  <c:v>-5</c:v>
                </c:pt>
                <c:pt idx="47">
                  <c:v>-5.5</c:v>
                </c:pt>
                <c:pt idx="48">
                  <c:v>-6</c:v>
                </c:pt>
                <c:pt idx="49">
                  <c:v>-6.5</c:v>
                </c:pt>
                <c:pt idx="50">
                  <c:v>-7</c:v>
                </c:pt>
                <c:pt idx="51">
                  <c:v>-7.5</c:v>
                </c:pt>
                <c:pt idx="52">
                  <c:v>-8</c:v>
                </c:pt>
                <c:pt idx="53">
                  <c:v>-8.5</c:v>
                </c:pt>
                <c:pt idx="54">
                  <c:v>-9</c:v>
                </c:pt>
                <c:pt idx="55">
                  <c:v>-9.5</c:v>
                </c:pt>
                <c:pt idx="56">
                  <c:v>-10</c:v>
                </c:pt>
                <c:pt idx="57">
                  <c:v>-10.5</c:v>
                </c:pt>
                <c:pt idx="58">
                  <c:v>-11</c:v>
                </c:pt>
                <c:pt idx="59">
                  <c:v>-11.5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5-4E93-B319-20987369427B}"/>
            </c:ext>
          </c:extLst>
        </c:ser>
        <c:ser>
          <c:idx val="3"/>
          <c:order val="3"/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Questão1!$F$4:$F$63</c:f>
              <c:numCache>
                <c:formatCode>General</c:formatCode>
                <c:ptCount val="60"/>
                <c:pt idx="0">
                  <c:v>44</c:v>
                </c:pt>
                <c:pt idx="1">
                  <c:v>42.5</c:v>
                </c:pt>
                <c:pt idx="2">
                  <c:v>41</c:v>
                </c:pt>
                <c:pt idx="3">
                  <c:v>39.5</c:v>
                </c:pt>
                <c:pt idx="4">
                  <c:v>38</c:v>
                </c:pt>
                <c:pt idx="5">
                  <c:v>36.5</c:v>
                </c:pt>
                <c:pt idx="6">
                  <c:v>35</c:v>
                </c:pt>
                <c:pt idx="7">
                  <c:v>33.5</c:v>
                </c:pt>
                <c:pt idx="8">
                  <c:v>32</c:v>
                </c:pt>
                <c:pt idx="9">
                  <c:v>30.5</c:v>
                </c:pt>
                <c:pt idx="10">
                  <c:v>29</c:v>
                </c:pt>
                <c:pt idx="11">
                  <c:v>27.5</c:v>
                </c:pt>
                <c:pt idx="12">
                  <c:v>26</c:v>
                </c:pt>
                <c:pt idx="13">
                  <c:v>24.5</c:v>
                </c:pt>
                <c:pt idx="14">
                  <c:v>23</c:v>
                </c:pt>
                <c:pt idx="15">
                  <c:v>21.5</c:v>
                </c:pt>
                <c:pt idx="16">
                  <c:v>20</c:v>
                </c:pt>
                <c:pt idx="17">
                  <c:v>18.5</c:v>
                </c:pt>
                <c:pt idx="18">
                  <c:v>17</c:v>
                </c:pt>
                <c:pt idx="19">
                  <c:v>15.5</c:v>
                </c:pt>
                <c:pt idx="20">
                  <c:v>14</c:v>
                </c:pt>
                <c:pt idx="21">
                  <c:v>12.5</c:v>
                </c:pt>
                <c:pt idx="22">
                  <c:v>11</c:v>
                </c:pt>
                <c:pt idx="23">
                  <c:v>9.5</c:v>
                </c:pt>
                <c:pt idx="24">
                  <c:v>8</c:v>
                </c:pt>
                <c:pt idx="25">
                  <c:v>6.5</c:v>
                </c:pt>
                <c:pt idx="26">
                  <c:v>5</c:v>
                </c:pt>
                <c:pt idx="27">
                  <c:v>3.5</c:v>
                </c:pt>
                <c:pt idx="28">
                  <c:v>2</c:v>
                </c:pt>
                <c:pt idx="29">
                  <c:v>0.5</c:v>
                </c:pt>
                <c:pt idx="30">
                  <c:v>-1</c:v>
                </c:pt>
                <c:pt idx="31">
                  <c:v>-2.5</c:v>
                </c:pt>
                <c:pt idx="32">
                  <c:v>-4</c:v>
                </c:pt>
                <c:pt idx="33">
                  <c:v>-5.5</c:v>
                </c:pt>
                <c:pt idx="34">
                  <c:v>-7</c:v>
                </c:pt>
                <c:pt idx="35">
                  <c:v>-8.5</c:v>
                </c:pt>
                <c:pt idx="36">
                  <c:v>-10</c:v>
                </c:pt>
                <c:pt idx="37">
                  <c:v>-11.5</c:v>
                </c:pt>
                <c:pt idx="38">
                  <c:v>-13</c:v>
                </c:pt>
                <c:pt idx="39">
                  <c:v>-14.5</c:v>
                </c:pt>
                <c:pt idx="40">
                  <c:v>-16</c:v>
                </c:pt>
                <c:pt idx="41">
                  <c:v>-17.5</c:v>
                </c:pt>
                <c:pt idx="42">
                  <c:v>-19</c:v>
                </c:pt>
                <c:pt idx="43">
                  <c:v>-20.5</c:v>
                </c:pt>
                <c:pt idx="44">
                  <c:v>-22</c:v>
                </c:pt>
                <c:pt idx="45">
                  <c:v>-23.5</c:v>
                </c:pt>
                <c:pt idx="46">
                  <c:v>-25</c:v>
                </c:pt>
                <c:pt idx="47">
                  <c:v>-26.5</c:v>
                </c:pt>
                <c:pt idx="48">
                  <c:v>-28</c:v>
                </c:pt>
                <c:pt idx="49">
                  <c:v>-29.5</c:v>
                </c:pt>
                <c:pt idx="50">
                  <c:v>-31</c:v>
                </c:pt>
                <c:pt idx="51">
                  <c:v>-32.5</c:v>
                </c:pt>
                <c:pt idx="52">
                  <c:v>-34</c:v>
                </c:pt>
                <c:pt idx="53">
                  <c:v>-35.5</c:v>
                </c:pt>
                <c:pt idx="54">
                  <c:v>-37</c:v>
                </c:pt>
                <c:pt idx="55">
                  <c:v>-38.5</c:v>
                </c:pt>
                <c:pt idx="56">
                  <c:v>-40</c:v>
                </c:pt>
                <c:pt idx="57">
                  <c:v>-41.5</c:v>
                </c:pt>
                <c:pt idx="58">
                  <c:v>-43</c:v>
                </c:pt>
                <c:pt idx="59">
                  <c:v>-44.5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B5-4E93-B319-20987369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033328"/>
        <c:axId val="1556846608"/>
      </c:lineChart>
      <c:catAx>
        <c:axId val="15480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6846608"/>
        <c:crosses val="autoZero"/>
        <c:auto val="1"/>
        <c:lblAlgn val="ctr"/>
        <c:lblOffset val="100"/>
        <c:noMultiLvlLbl val="0"/>
      </c:catAx>
      <c:valAx>
        <c:axId val="15568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80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2</xdr:row>
      <xdr:rowOff>160020</xdr:rowOff>
    </xdr:from>
    <xdr:to>
      <xdr:col>23</xdr:col>
      <xdr:colOff>152400</xdr:colOff>
      <xdr:row>43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A60FB5-80D7-4FF3-5F86-341DBAA19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</xdr:colOff>
      <xdr:row>2</xdr:row>
      <xdr:rowOff>15240</xdr:rowOff>
    </xdr:from>
    <xdr:ext cx="4191404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6800964-FF57-4A1B-BED5-DE7767551E19}"/>
            </a:ext>
          </a:extLst>
        </xdr:cNvPr>
        <xdr:cNvSpPr txBox="1"/>
      </xdr:nvSpPr>
      <xdr:spPr>
        <a:xfrm>
          <a:off x="4251960" y="381000"/>
          <a:ext cx="4191404" cy="342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/>
            <a:t>PLANILHA PARA UTILIZAÇÃO DO MS-Excel-Solver</a:t>
          </a:r>
        </a:p>
      </xdr:txBody>
    </xdr:sp>
    <xdr:clientData/>
  </xdr:oneCellAnchor>
  <xdr:oneCellAnchor>
    <xdr:from>
      <xdr:col>4</xdr:col>
      <xdr:colOff>236220</xdr:colOff>
      <xdr:row>5</xdr:row>
      <xdr:rowOff>38100</xdr:rowOff>
    </xdr:from>
    <xdr:ext cx="2979420" cy="34285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7A87B7A-2CAC-4701-981F-73036AC539F6}"/>
            </a:ext>
          </a:extLst>
        </xdr:cNvPr>
        <xdr:cNvSpPr txBox="1"/>
      </xdr:nvSpPr>
      <xdr:spPr>
        <a:xfrm>
          <a:off x="2674620" y="95250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COEFICIENTES DAS RESTRIÇÕES</a:t>
          </a:r>
        </a:p>
      </xdr:txBody>
    </xdr:sp>
    <xdr:clientData/>
  </xdr:oneCellAnchor>
  <xdr:oneCellAnchor>
    <xdr:from>
      <xdr:col>22</xdr:col>
      <xdr:colOff>0</xdr:colOff>
      <xdr:row>5</xdr:row>
      <xdr:rowOff>0</xdr:rowOff>
    </xdr:from>
    <xdr:ext cx="2979420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85F0CF6-29FE-41D0-9BF8-9B3CCF4A222E}"/>
            </a:ext>
          </a:extLst>
        </xdr:cNvPr>
        <xdr:cNvSpPr txBox="1"/>
      </xdr:nvSpPr>
      <xdr:spPr>
        <a:xfrm>
          <a:off x="10759440" y="91440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DISPONIBILIDADES</a:t>
          </a:r>
        </a:p>
      </xdr:txBody>
    </xdr:sp>
    <xdr:clientData/>
  </xdr:oneCellAnchor>
  <xdr:oneCellAnchor>
    <xdr:from>
      <xdr:col>17</xdr:col>
      <xdr:colOff>304800</xdr:colOff>
      <xdr:row>5</xdr:row>
      <xdr:rowOff>38100</xdr:rowOff>
    </xdr:from>
    <xdr:ext cx="2499360" cy="34285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E0CBB9F-3498-4ABC-8A90-AD1CB1F0040D}"/>
            </a:ext>
          </a:extLst>
        </xdr:cNvPr>
        <xdr:cNvSpPr txBox="1"/>
      </xdr:nvSpPr>
      <xdr:spPr>
        <a:xfrm>
          <a:off x="7322820" y="952500"/>
          <a:ext cx="249936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QUANTIDADE</a:t>
          </a:r>
          <a:r>
            <a:rPr lang="pt-BR" sz="1600" baseline="0"/>
            <a:t>S USADAS</a:t>
          </a:r>
          <a:endParaRPr lang="pt-BR" sz="1600"/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1348740" cy="34285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704F22F-5613-4A07-91BF-81BAD6B87819}"/>
            </a:ext>
          </a:extLst>
        </xdr:cNvPr>
        <xdr:cNvSpPr txBox="1"/>
      </xdr:nvSpPr>
      <xdr:spPr>
        <a:xfrm>
          <a:off x="1219200" y="320040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VARIÁVEIS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1348740" cy="59336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6CDC655-B50A-4424-A211-44164436C27A}"/>
            </a:ext>
          </a:extLst>
        </xdr:cNvPr>
        <xdr:cNvSpPr txBox="1"/>
      </xdr:nvSpPr>
      <xdr:spPr>
        <a:xfrm>
          <a:off x="1219200" y="3977640"/>
          <a:ext cx="134874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LUCROS</a:t>
          </a:r>
          <a:r>
            <a:rPr lang="pt-BR" sz="1600" baseline="0"/>
            <a:t> UNITÁRIOS</a:t>
          </a:r>
          <a:endParaRPr lang="pt-BR" sz="1600"/>
        </a:p>
      </xdr:txBody>
    </xdr:sp>
    <xdr:clientData/>
  </xdr:oneCellAnchor>
  <xdr:oneCellAnchor>
    <xdr:from>
      <xdr:col>19</xdr:col>
      <xdr:colOff>441960</xdr:colOff>
      <xdr:row>19</xdr:row>
      <xdr:rowOff>175260</xdr:rowOff>
    </xdr:from>
    <xdr:ext cx="1348740" cy="34285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9061A8D-5F71-4479-B40A-235D86996CC5}"/>
            </a:ext>
          </a:extLst>
        </xdr:cNvPr>
        <xdr:cNvSpPr txBox="1"/>
      </xdr:nvSpPr>
      <xdr:spPr>
        <a:xfrm>
          <a:off x="9372600" y="397002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</a:t>
          </a:r>
          <a:r>
            <a:rPr lang="pt-BR" sz="1600" baseline="0"/>
            <a:t> TOTAL</a:t>
          </a:r>
          <a:endParaRPr lang="pt-BR" sz="16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</xdr:colOff>
      <xdr:row>2</xdr:row>
      <xdr:rowOff>15240</xdr:rowOff>
    </xdr:from>
    <xdr:ext cx="4191404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3520422-1051-4C94-8EC7-B09DA47D0524}"/>
            </a:ext>
          </a:extLst>
        </xdr:cNvPr>
        <xdr:cNvSpPr txBox="1"/>
      </xdr:nvSpPr>
      <xdr:spPr>
        <a:xfrm>
          <a:off x="3535680" y="381000"/>
          <a:ext cx="4191404" cy="342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/>
            <a:t>PLANILHA PARA UTILIZAÇÃO DO MS-Excel-Solver</a:t>
          </a:r>
        </a:p>
      </xdr:txBody>
    </xdr:sp>
    <xdr:clientData/>
  </xdr:oneCellAnchor>
  <xdr:oneCellAnchor>
    <xdr:from>
      <xdr:col>2</xdr:col>
      <xdr:colOff>403860</xdr:colOff>
      <xdr:row>5</xdr:row>
      <xdr:rowOff>38100</xdr:rowOff>
    </xdr:from>
    <xdr:ext cx="2636520" cy="44958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40DBB84-C71D-4E3E-8372-99484BC1A4A9}"/>
            </a:ext>
          </a:extLst>
        </xdr:cNvPr>
        <xdr:cNvSpPr txBox="1"/>
      </xdr:nvSpPr>
      <xdr:spPr>
        <a:xfrm>
          <a:off x="1623060" y="952500"/>
          <a:ext cx="2636520" cy="4495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/>
            <a:t>COEFICIENTES DAS RESTRIÇÕES</a:t>
          </a:r>
        </a:p>
      </xdr:txBody>
    </xdr:sp>
    <xdr:clientData/>
  </xdr:oneCellAnchor>
  <xdr:oneCellAnchor>
    <xdr:from>
      <xdr:col>12</xdr:col>
      <xdr:colOff>403860</xdr:colOff>
      <xdr:row>5</xdr:row>
      <xdr:rowOff>83820</xdr:rowOff>
    </xdr:from>
    <xdr:ext cx="2979420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D674F8F-A93B-4E72-B168-CACCDACD1754}"/>
            </a:ext>
          </a:extLst>
        </xdr:cNvPr>
        <xdr:cNvSpPr txBox="1"/>
      </xdr:nvSpPr>
      <xdr:spPr>
        <a:xfrm>
          <a:off x="7749540" y="99822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DISPONIBILIDADES</a:t>
          </a:r>
        </a:p>
      </xdr:txBody>
    </xdr:sp>
    <xdr:clientData/>
  </xdr:oneCellAnchor>
  <xdr:oneCellAnchor>
    <xdr:from>
      <xdr:col>8</xdr:col>
      <xdr:colOff>320040</xdr:colOff>
      <xdr:row>5</xdr:row>
      <xdr:rowOff>76200</xdr:rowOff>
    </xdr:from>
    <xdr:ext cx="2499360" cy="34285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83642E9-BFDE-4906-803F-50CC88CCCB82}"/>
            </a:ext>
          </a:extLst>
        </xdr:cNvPr>
        <xdr:cNvSpPr txBox="1"/>
      </xdr:nvSpPr>
      <xdr:spPr>
        <a:xfrm>
          <a:off x="4533900" y="990600"/>
          <a:ext cx="249936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QUANTIDADE</a:t>
          </a:r>
          <a:r>
            <a:rPr lang="pt-BR" sz="1600" baseline="0"/>
            <a:t>S USADAS</a:t>
          </a:r>
          <a:endParaRPr lang="pt-BR" sz="1600"/>
        </a:p>
      </xdr:txBody>
    </xdr:sp>
    <xdr:clientData/>
  </xdr:oneCellAnchor>
  <xdr:oneCellAnchor>
    <xdr:from>
      <xdr:col>2</xdr:col>
      <xdr:colOff>0</xdr:colOff>
      <xdr:row>9</xdr:row>
      <xdr:rowOff>0</xdr:rowOff>
    </xdr:from>
    <xdr:ext cx="1348740" cy="34285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A4A1BB1-1B3B-4F9B-9C6B-50ED6BDEAEBA}"/>
            </a:ext>
          </a:extLst>
        </xdr:cNvPr>
        <xdr:cNvSpPr txBox="1"/>
      </xdr:nvSpPr>
      <xdr:spPr>
        <a:xfrm>
          <a:off x="1219200" y="329184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VARIÁVEIS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1348740" cy="59336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4AECCC6-1026-40CF-A8F9-B7C3392EA8C1}"/>
            </a:ext>
          </a:extLst>
        </xdr:cNvPr>
        <xdr:cNvSpPr txBox="1"/>
      </xdr:nvSpPr>
      <xdr:spPr>
        <a:xfrm>
          <a:off x="1219200" y="4160520"/>
          <a:ext cx="134874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LUCROS</a:t>
          </a:r>
          <a:r>
            <a:rPr lang="pt-BR" sz="1600" baseline="0"/>
            <a:t> UNITÁRIOS</a:t>
          </a:r>
          <a:endParaRPr lang="pt-BR" sz="1600"/>
        </a:p>
      </xdr:txBody>
    </xdr:sp>
    <xdr:clientData/>
  </xdr:oneCellAnchor>
  <xdr:oneCellAnchor>
    <xdr:from>
      <xdr:col>10</xdr:col>
      <xdr:colOff>441960</xdr:colOff>
      <xdr:row>12</xdr:row>
      <xdr:rowOff>175260</xdr:rowOff>
    </xdr:from>
    <xdr:ext cx="1348740" cy="34285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4B66CC4-C910-4BD5-BB08-3F05C574CFB6}"/>
            </a:ext>
          </a:extLst>
        </xdr:cNvPr>
        <xdr:cNvSpPr txBox="1"/>
      </xdr:nvSpPr>
      <xdr:spPr>
        <a:xfrm>
          <a:off x="10477500" y="415290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</a:t>
          </a:r>
          <a:r>
            <a:rPr lang="pt-BR" sz="1600" baseline="0"/>
            <a:t> TOTAL</a:t>
          </a:r>
          <a:endParaRPr lang="pt-BR" sz="16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</xdr:colOff>
      <xdr:row>2</xdr:row>
      <xdr:rowOff>15240</xdr:rowOff>
    </xdr:from>
    <xdr:ext cx="4191404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20177C-45BF-4430-85D3-77F02F5B1041}"/>
            </a:ext>
          </a:extLst>
        </xdr:cNvPr>
        <xdr:cNvSpPr txBox="1"/>
      </xdr:nvSpPr>
      <xdr:spPr>
        <a:xfrm>
          <a:off x="3535680" y="381000"/>
          <a:ext cx="4191404" cy="342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/>
            <a:t>PLANILHA PARA UTILIZAÇÃO DO MS-Excel-Solver</a:t>
          </a:r>
        </a:p>
      </xdr:txBody>
    </xdr:sp>
    <xdr:clientData/>
  </xdr:oneCellAnchor>
  <xdr:oneCellAnchor>
    <xdr:from>
      <xdr:col>2</xdr:col>
      <xdr:colOff>403860</xdr:colOff>
      <xdr:row>5</xdr:row>
      <xdr:rowOff>38100</xdr:rowOff>
    </xdr:from>
    <xdr:ext cx="2636520" cy="44958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8B0F299-A7AD-4CD8-932B-3FC0EC2ECD32}"/>
            </a:ext>
          </a:extLst>
        </xdr:cNvPr>
        <xdr:cNvSpPr txBox="1"/>
      </xdr:nvSpPr>
      <xdr:spPr>
        <a:xfrm>
          <a:off x="1623060" y="952500"/>
          <a:ext cx="2636520" cy="4495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/>
            <a:t>COEFICIENTES DAS RESTRIÇÕES</a:t>
          </a:r>
        </a:p>
      </xdr:txBody>
    </xdr:sp>
    <xdr:clientData/>
  </xdr:oneCellAnchor>
  <xdr:oneCellAnchor>
    <xdr:from>
      <xdr:col>11</xdr:col>
      <xdr:colOff>403860</xdr:colOff>
      <xdr:row>5</xdr:row>
      <xdr:rowOff>83820</xdr:rowOff>
    </xdr:from>
    <xdr:ext cx="2979420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79675B2-7CB4-41A7-8E92-2F798F022649}"/>
            </a:ext>
          </a:extLst>
        </xdr:cNvPr>
        <xdr:cNvSpPr txBox="1"/>
      </xdr:nvSpPr>
      <xdr:spPr>
        <a:xfrm>
          <a:off x="7749540" y="99822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DISPONIBILIDADES</a:t>
          </a:r>
        </a:p>
      </xdr:txBody>
    </xdr:sp>
    <xdr:clientData/>
  </xdr:oneCellAnchor>
  <xdr:oneCellAnchor>
    <xdr:from>
      <xdr:col>8</xdr:col>
      <xdr:colOff>304800</xdr:colOff>
      <xdr:row>5</xdr:row>
      <xdr:rowOff>76200</xdr:rowOff>
    </xdr:from>
    <xdr:ext cx="1905000" cy="593368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837815E-1939-4F31-B883-624E9AE60184}"/>
            </a:ext>
          </a:extLst>
        </xdr:cNvPr>
        <xdr:cNvSpPr txBox="1"/>
      </xdr:nvSpPr>
      <xdr:spPr>
        <a:xfrm>
          <a:off x="4747260" y="990600"/>
          <a:ext cx="190500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QUANTIDADE</a:t>
          </a:r>
          <a:r>
            <a:rPr lang="pt-BR" sz="1600" baseline="0"/>
            <a:t>S USADAS</a:t>
          </a:r>
          <a:endParaRPr lang="pt-BR" sz="1600"/>
        </a:p>
      </xdr:txBody>
    </xdr:sp>
    <xdr:clientData/>
  </xdr:oneCellAnchor>
  <xdr:oneCellAnchor>
    <xdr:from>
      <xdr:col>2</xdr:col>
      <xdr:colOff>0</xdr:colOff>
      <xdr:row>9</xdr:row>
      <xdr:rowOff>0</xdr:rowOff>
    </xdr:from>
    <xdr:ext cx="1348740" cy="34285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09E71D5-4117-4DFD-8C96-9061CF4990BF}"/>
            </a:ext>
          </a:extLst>
        </xdr:cNvPr>
        <xdr:cNvSpPr txBox="1"/>
      </xdr:nvSpPr>
      <xdr:spPr>
        <a:xfrm>
          <a:off x="1219200" y="169164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VARIÁVEIS</a:t>
          </a:r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348740" cy="59336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8ABD411-DDB2-41D0-AAA3-6C35469731B3}"/>
            </a:ext>
          </a:extLst>
        </xdr:cNvPr>
        <xdr:cNvSpPr txBox="1"/>
      </xdr:nvSpPr>
      <xdr:spPr>
        <a:xfrm>
          <a:off x="1219200" y="2560320"/>
          <a:ext cx="134874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LUCROS</a:t>
          </a:r>
          <a:r>
            <a:rPr lang="pt-BR" sz="1600" baseline="0"/>
            <a:t> UNITÁRIOS</a:t>
          </a:r>
          <a:endParaRPr lang="pt-BR" sz="1600"/>
        </a:p>
      </xdr:txBody>
    </xdr:sp>
    <xdr:clientData/>
  </xdr:oneCellAnchor>
  <xdr:oneCellAnchor>
    <xdr:from>
      <xdr:col>9</xdr:col>
      <xdr:colOff>441960</xdr:colOff>
      <xdr:row>11</xdr:row>
      <xdr:rowOff>175260</xdr:rowOff>
    </xdr:from>
    <xdr:ext cx="1348740" cy="34285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75445EA1-7536-4D40-A1BC-0BDB11A0A58E}"/>
            </a:ext>
          </a:extLst>
        </xdr:cNvPr>
        <xdr:cNvSpPr txBox="1"/>
      </xdr:nvSpPr>
      <xdr:spPr>
        <a:xfrm>
          <a:off x="6568440" y="255270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</a:t>
          </a:r>
          <a:r>
            <a:rPr lang="pt-BR" sz="1600" baseline="0"/>
            <a:t> TOTAL</a:t>
          </a:r>
          <a:endParaRPr lang="pt-BR" sz="16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</xdr:row>
      <xdr:rowOff>163830</xdr:rowOff>
    </xdr:from>
    <xdr:ext cx="80010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DF39E35-5D92-8000-3ACE-A61571893D4C}"/>
                </a:ext>
              </a:extLst>
            </xdr:cNvPr>
            <xdr:cNvSpPr txBox="1"/>
          </xdr:nvSpPr>
          <xdr:spPr>
            <a:xfrm>
              <a:off x="1866900" y="346710"/>
              <a:ext cx="8001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pt-BR" sz="1400" b="0" i="1">
                        <a:latin typeface="Cambria Math" panose="02040503050406030204" pitchFamily="18" charset="0"/>
                      </a:rPr>
                      <m:t>8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+6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DF39E35-5D92-8000-3ACE-A61571893D4C}"/>
                </a:ext>
              </a:extLst>
            </xdr:cNvPr>
            <xdr:cNvSpPr txBox="1"/>
          </xdr:nvSpPr>
          <xdr:spPr>
            <a:xfrm>
              <a:off x="1866900" y="346710"/>
              <a:ext cx="8001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8𝑥_1+6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548640</xdr:colOff>
      <xdr:row>5</xdr:row>
      <xdr:rowOff>114300</xdr:rowOff>
    </xdr:from>
    <xdr:ext cx="140208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44AF69BB-FE24-4878-9DAE-F8E38EFB3EF4}"/>
                </a:ext>
              </a:extLst>
            </xdr:cNvPr>
            <xdr:cNvSpPr txBox="1"/>
          </xdr:nvSpPr>
          <xdr:spPr>
            <a:xfrm>
              <a:off x="1767840" y="102870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pt-BR" sz="1400" b="0" i="1">
                        <a:latin typeface="Cambria Math" panose="02040503050406030204" pitchFamily="18" charset="0"/>
                      </a:rPr>
                      <m:t>3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44AF69BB-FE24-4878-9DAE-F8E38EFB3EF4}"/>
                </a:ext>
              </a:extLst>
            </xdr:cNvPr>
            <xdr:cNvSpPr txBox="1"/>
          </xdr:nvSpPr>
          <xdr:spPr>
            <a:xfrm>
              <a:off x="1767840" y="102870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3𝑥_1+2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541020</xdr:colOff>
      <xdr:row>7</xdr:row>
      <xdr:rowOff>22860</xdr:rowOff>
    </xdr:from>
    <xdr:ext cx="140208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955F0FB-4ED1-44E5-BBA7-26B765F62C08}"/>
                </a:ext>
              </a:extLst>
            </xdr:cNvPr>
            <xdr:cNvSpPr txBox="1"/>
          </xdr:nvSpPr>
          <xdr:spPr>
            <a:xfrm>
              <a:off x="1760220" y="130302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pt-BR" sz="14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955F0FB-4ED1-44E5-BBA7-26B765F62C08}"/>
                </a:ext>
              </a:extLst>
            </xdr:cNvPr>
            <xdr:cNvSpPr txBox="1"/>
          </xdr:nvSpPr>
          <xdr:spPr>
            <a:xfrm>
              <a:off x="1760220" y="130302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2𝑥_1+3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114300</xdr:rowOff>
    </xdr:from>
    <xdr:ext cx="169164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A9BD9D1-E76A-4EE0-B465-7FD9A877D4A9}"/>
                </a:ext>
              </a:extLst>
            </xdr:cNvPr>
            <xdr:cNvSpPr txBox="1"/>
          </xdr:nvSpPr>
          <xdr:spPr>
            <a:xfrm>
              <a:off x="4267200" y="1028700"/>
              <a:ext cx="16916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pt-BR" sz="1400" b="0" i="1">
                        <a:latin typeface="Cambria Math" panose="02040503050406030204" pitchFamily="18" charset="0"/>
                      </a:rPr>
                      <m:t>3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A9BD9D1-E76A-4EE0-B465-7FD9A877D4A9}"/>
                </a:ext>
              </a:extLst>
            </xdr:cNvPr>
            <xdr:cNvSpPr txBox="1"/>
          </xdr:nvSpPr>
          <xdr:spPr>
            <a:xfrm>
              <a:off x="4267200" y="1028700"/>
              <a:ext cx="16916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3𝑥_1+2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_1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166878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98103FE-C2EB-4F0E-80E5-209A6A448D7E}"/>
                </a:ext>
              </a:extLst>
            </xdr:cNvPr>
            <xdr:cNvSpPr txBox="1"/>
          </xdr:nvSpPr>
          <xdr:spPr>
            <a:xfrm>
              <a:off x="4267200" y="1280160"/>
              <a:ext cx="16687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pt-BR" sz="14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98103FE-C2EB-4F0E-80E5-209A6A448D7E}"/>
                </a:ext>
              </a:extLst>
            </xdr:cNvPr>
            <xdr:cNvSpPr txBox="1"/>
          </xdr:nvSpPr>
          <xdr:spPr>
            <a:xfrm>
              <a:off x="4267200" y="1280160"/>
              <a:ext cx="16687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2𝑥_1+3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2+𝑓_2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</xdr:row>
      <xdr:rowOff>163830</xdr:rowOff>
    </xdr:from>
    <xdr:ext cx="214122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B08E0FB-F1EB-49DA-BCC3-1D068B29373D}"/>
                </a:ext>
              </a:extLst>
            </xdr:cNvPr>
            <xdr:cNvSpPr txBox="1"/>
          </xdr:nvSpPr>
          <xdr:spPr>
            <a:xfrm>
              <a:off x="1981200" y="346710"/>
              <a:ext cx="21412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pt-BR" sz="1400" b="0" i="1">
                        <a:latin typeface="Cambria Math" panose="02040503050406030204" pitchFamily="18" charset="0"/>
                      </a:rPr>
                      <m:t>40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+50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+30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B08E0FB-F1EB-49DA-BCC3-1D068B29373D}"/>
                </a:ext>
              </a:extLst>
            </xdr:cNvPr>
            <xdr:cNvSpPr txBox="1"/>
          </xdr:nvSpPr>
          <xdr:spPr>
            <a:xfrm>
              <a:off x="1981200" y="346710"/>
              <a:ext cx="21412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40𝑥_1+50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2+30𝑥_3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548640</xdr:colOff>
      <xdr:row>5</xdr:row>
      <xdr:rowOff>114300</xdr:rowOff>
    </xdr:from>
    <xdr:ext cx="187452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4C98172-67DB-45B2-9C6D-8646642A9CE5}"/>
                </a:ext>
              </a:extLst>
            </xdr:cNvPr>
            <xdr:cNvSpPr txBox="1"/>
          </xdr:nvSpPr>
          <xdr:spPr>
            <a:xfrm>
              <a:off x="1882140" y="10287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pt-BR" sz="14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≤20</m:t>
                    </m:r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4C98172-67DB-45B2-9C6D-8646642A9CE5}"/>
                </a:ext>
              </a:extLst>
            </xdr:cNvPr>
            <xdr:cNvSpPr txBox="1"/>
          </xdr:nvSpPr>
          <xdr:spPr>
            <a:xfrm>
              <a:off x="1882140" y="10287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2𝑥_1+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2+𝑥_3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≤20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541020</xdr:colOff>
      <xdr:row>7</xdr:row>
      <xdr:rowOff>22860</xdr:rowOff>
    </xdr:from>
    <xdr:ext cx="187452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D6DD535-7873-4DF9-AE11-DFB3D11AAD81}"/>
                </a:ext>
              </a:extLst>
            </xdr:cNvPr>
            <xdr:cNvSpPr txBox="1"/>
          </xdr:nvSpPr>
          <xdr:spPr>
            <a:xfrm>
              <a:off x="1874520" y="130302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D6DD535-7873-4DF9-AE11-DFB3D11AAD81}"/>
                </a:ext>
              </a:extLst>
            </xdr:cNvPr>
            <xdr:cNvSpPr txBox="1"/>
          </xdr:nvSpPr>
          <xdr:spPr>
            <a:xfrm>
              <a:off x="1874520" y="130302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𝑥_1+3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2+𝑥_3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548640</xdr:colOff>
      <xdr:row>8</xdr:row>
      <xdr:rowOff>99060</xdr:rowOff>
    </xdr:from>
    <xdr:ext cx="187452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F6F5DC31-5B77-49F6-8C22-7D74989BA9BC}"/>
                </a:ext>
              </a:extLst>
            </xdr:cNvPr>
            <xdr:cNvSpPr txBox="1"/>
          </xdr:nvSpPr>
          <xdr:spPr>
            <a:xfrm>
              <a:off x="1882140" y="15621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≤24</m:t>
                    </m:r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F6F5DC31-5B77-49F6-8C22-7D74989BA9BC}"/>
                </a:ext>
              </a:extLst>
            </xdr:cNvPr>
            <xdr:cNvSpPr txBox="1"/>
          </xdr:nvSpPr>
          <xdr:spPr>
            <a:xfrm>
              <a:off x="1882140" y="15621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𝑥_1+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2+〖2𝑥〗_3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≤24</a:t>
              </a:r>
              <a:endParaRPr lang="pt-BR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FB7B-C032-4B91-9D84-5D9EE7F5A916}">
  <dimension ref="B3:F63"/>
  <sheetViews>
    <sheetView topLeftCell="A4" workbookViewId="0">
      <selection activeCell="B4" sqref="B4:F63"/>
    </sheetView>
  </sheetViews>
  <sheetFormatPr defaultRowHeight="14.4" x14ac:dyDescent="0.3"/>
  <sheetData>
    <row r="3" spans="2:6" x14ac:dyDescent="0.3">
      <c r="C3" t="s">
        <v>0</v>
      </c>
      <c r="D3" t="s">
        <v>0</v>
      </c>
      <c r="E3" t="s">
        <v>0</v>
      </c>
      <c r="F3" t="s">
        <v>0</v>
      </c>
    </row>
    <row r="4" spans="2:6" x14ac:dyDescent="0.3">
      <c r="B4">
        <v>0</v>
      </c>
      <c r="C4">
        <v>10</v>
      </c>
      <c r="D4">
        <f>(60-2*B4)/5</f>
        <v>12</v>
      </c>
      <c r="E4">
        <f>18-B4</f>
        <v>18</v>
      </c>
      <c r="F4">
        <f>(44-3*B4)</f>
        <v>44</v>
      </c>
    </row>
    <row r="5" spans="2:6" x14ac:dyDescent="0.3">
      <c r="B5">
        <f>B4+0.5</f>
        <v>0.5</v>
      </c>
      <c r="C5">
        <v>10</v>
      </c>
      <c r="D5">
        <f t="shared" ref="D5:D63" si="0">(60-2*B5)/5</f>
        <v>11.8</v>
      </c>
      <c r="E5">
        <f t="shared" ref="E5:E63" si="1">18-B5</f>
        <v>17.5</v>
      </c>
      <c r="F5">
        <f t="shared" ref="F5:F63" si="2">(44-3*B5)</f>
        <v>42.5</v>
      </c>
    </row>
    <row r="6" spans="2:6" x14ac:dyDescent="0.3">
      <c r="B6">
        <f t="shared" ref="B6:B63" si="3">B5+0.5</f>
        <v>1</v>
      </c>
      <c r="C6">
        <v>10</v>
      </c>
      <c r="D6">
        <f t="shared" si="0"/>
        <v>11.6</v>
      </c>
      <c r="E6">
        <f t="shared" si="1"/>
        <v>17</v>
      </c>
      <c r="F6">
        <f t="shared" si="2"/>
        <v>41</v>
      </c>
    </row>
    <row r="7" spans="2:6" x14ac:dyDescent="0.3">
      <c r="B7">
        <f t="shared" si="3"/>
        <v>1.5</v>
      </c>
      <c r="C7">
        <v>10</v>
      </c>
      <c r="D7">
        <f t="shared" si="0"/>
        <v>11.4</v>
      </c>
      <c r="E7">
        <f t="shared" si="1"/>
        <v>16.5</v>
      </c>
      <c r="F7">
        <f t="shared" si="2"/>
        <v>39.5</v>
      </c>
    </row>
    <row r="8" spans="2:6" x14ac:dyDescent="0.3">
      <c r="B8">
        <f t="shared" si="3"/>
        <v>2</v>
      </c>
      <c r="C8">
        <v>10</v>
      </c>
      <c r="D8">
        <f t="shared" si="0"/>
        <v>11.2</v>
      </c>
      <c r="E8">
        <f t="shared" si="1"/>
        <v>16</v>
      </c>
      <c r="F8">
        <f t="shared" si="2"/>
        <v>38</v>
      </c>
    </row>
    <row r="9" spans="2:6" x14ac:dyDescent="0.3">
      <c r="B9">
        <f t="shared" si="3"/>
        <v>2.5</v>
      </c>
      <c r="C9">
        <v>10</v>
      </c>
      <c r="D9">
        <f t="shared" si="0"/>
        <v>11</v>
      </c>
      <c r="E9">
        <f t="shared" si="1"/>
        <v>15.5</v>
      </c>
      <c r="F9">
        <f t="shared" si="2"/>
        <v>36.5</v>
      </c>
    </row>
    <row r="10" spans="2:6" x14ac:dyDescent="0.3">
      <c r="B10">
        <f t="shared" si="3"/>
        <v>3</v>
      </c>
      <c r="C10">
        <v>10</v>
      </c>
      <c r="D10">
        <f t="shared" si="0"/>
        <v>10.8</v>
      </c>
      <c r="E10">
        <f t="shared" si="1"/>
        <v>15</v>
      </c>
      <c r="F10">
        <f t="shared" si="2"/>
        <v>35</v>
      </c>
    </row>
    <row r="11" spans="2:6" x14ac:dyDescent="0.3">
      <c r="B11">
        <f t="shared" si="3"/>
        <v>3.5</v>
      </c>
      <c r="C11">
        <v>10</v>
      </c>
      <c r="D11">
        <f t="shared" si="0"/>
        <v>10.6</v>
      </c>
      <c r="E11">
        <f t="shared" si="1"/>
        <v>14.5</v>
      </c>
      <c r="F11">
        <f t="shared" si="2"/>
        <v>33.5</v>
      </c>
    </row>
    <row r="12" spans="2:6" x14ac:dyDescent="0.3">
      <c r="B12">
        <f t="shared" si="3"/>
        <v>4</v>
      </c>
      <c r="C12">
        <v>10</v>
      </c>
      <c r="D12">
        <f t="shared" si="0"/>
        <v>10.4</v>
      </c>
      <c r="E12">
        <f t="shared" si="1"/>
        <v>14</v>
      </c>
      <c r="F12">
        <f t="shared" si="2"/>
        <v>32</v>
      </c>
    </row>
    <row r="13" spans="2:6" x14ac:dyDescent="0.3">
      <c r="B13">
        <f t="shared" si="3"/>
        <v>4.5</v>
      </c>
      <c r="C13">
        <v>10</v>
      </c>
      <c r="D13">
        <f t="shared" si="0"/>
        <v>10.199999999999999</v>
      </c>
      <c r="E13">
        <f t="shared" si="1"/>
        <v>13.5</v>
      </c>
      <c r="F13">
        <f t="shared" si="2"/>
        <v>30.5</v>
      </c>
    </row>
    <row r="14" spans="2:6" x14ac:dyDescent="0.3">
      <c r="B14">
        <f t="shared" si="3"/>
        <v>5</v>
      </c>
      <c r="C14">
        <v>10</v>
      </c>
      <c r="D14">
        <f t="shared" si="0"/>
        <v>10</v>
      </c>
      <c r="E14">
        <f t="shared" si="1"/>
        <v>13</v>
      </c>
      <c r="F14">
        <f t="shared" si="2"/>
        <v>29</v>
      </c>
    </row>
    <row r="15" spans="2:6" x14ac:dyDescent="0.3">
      <c r="B15">
        <f t="shared" si="3"/>
        <v>5.5</v>
      </c>
      <c r="C15">
        <v>10</v>
      </c>
      <c r="D15">
        <f t="shared" si="0"/>
        <v>9.8000000000000007</v>
      </c>
      <c r="E15">
        <f t="shared" si="1"/>
        <v>12.5</v>
      </c>
      <c r="F15">
        <f t="shared" si="2"/>
        <v>27.5</v>
      </c>
    </row>
    <row r="16" spans="2:6" x14ac:dyDescent="0.3">
      <c r="B16">
        <f t="shared" si="3"/>
        <v>6</v>
      </c>
      <c r="C16">
        <v>10</v>
      </c>
      <c r="D16">
        <f t="shared" si="0"/>
        <v>9.6</v>
      </c>
      <c r="E16">
        <f t="shared" si="1"/>
        <v>12</v>
      </c>
      <c r="F16">
        <f t="shared" si="2"/>
        <v>26</v>
      </c>
    </row>
    <row r="17" spans="2:6" x14ac:dyDescent="0.3">
      <c r="B17">
        <f t="shared" si="3"/>
        <v>6.5</v>
      </c>
      <c r="C17">
        <v>10</v>
      </c>
      <c r="D17">
        <f t="shared" si="0"/>
        <v>9.4</v>
      </c>
      <c r="E17">
        <f t="shared" si="1"/>
        <v>11.5</v>
      </c>
      <c r="F17">
        <f t="shared" si="2"/>
        <v>24.5</v>
      </c>
    </row>
    <row r="18" spans="2:6" x14ac:dyDescent="0.3">
      <c r="B18">
        <f t="shared" si="3"/>
        <v>7</v>
      </c>
      <c r="C18">
        <v>10</v>
      </c>
      <c r="D18">
        <f t="shared" si="0"/>
        <v>9.1999999999999993</v>
      </c>
      <c r="E18">
        <f t="shared" si="1"/>
        <v>11</v>
      </c>
      <c r="F18">
        <f t="shared" si="2"/>
        <v>23</v>
      </c>
    </row>
    <row r="19" spans="2:6" x14ac:dyDescent="0.3">
      <c r="B19">
        <f t="shared" si="3"/>
        <v>7.5</v>
      </c>
      <c r="C19">
        <v>10</v>
      </c>
      <c r="D19">
        <f t="shared" si="0"/>
        <v>9</v>
      </c>
      <c r="E19">
        <f t="shared" si="1"/>
        <v>10.5</v>
      </c>
      <c r="F19">
        <f t="shared" si="2"/>
        <v>21.5</v>
      </c>
    </row>
    <row r="20" spans="2:6" x14ac:dyDescent="0.3">
      <c r="B20">
        <f t="shared" si="3"/>
        <v>8</v>
      </c>
      <c r="C20">
        <v>10</v>
      </c>
      <c r="D20">
        <f t="shared" si="0"/>
        <v>8.8000000000000007</v>
      </c>
      <c r="E20">
        <f t="shared" si="1"/>
        <v>10</v>
      </c>
      <c r="F20">
        <f t="shared" si="2"/>
        <v>20</v>
      </c>
    </row>
    <row r="21" spans="2:6" x14ac:dyDescent="0.3">
      <c r="B21">
        <f t="shared" si="3"/>
        <v>8.5</v>
      </c>
      <c r="C21">
        <v>10</v>
      </c>
      <c r="D21">
        <f t="shared" si="0"/>
        <v>8.6</v>
      </c>
      <c r="E21">
        <f t="shared" si="1"/>
        <v>9.5</v>
      </c>
      <c r="F21">
        <f t="shared" si="2"/>
        <v>18.5</v>
      </c>
    </row>
    <row r="22" spans="2:6" x14ac:dyDescent="0.3">
      <c r="B22">
        <f t="shared" si="3"/>
        <v>9</v>
      </c>
      <c r="C22">
        <v>10</v>
      </c>
      <c r="D22">
        <f t="shared" si="0"/>
        <v>8.4</v>
      </c>
      <c r="E22">
        <f t="shared" si="1"/>
        <v>9</v>
      </c>
      <c r="F22">
        <f t="shared" si="2"/>
        <v>17</v>
      </c>
    </row>
    <row r="23" spans="2:6" x14ac:dyDescent="0.3">
      <c r="B23">
        <f t="shared" si="3"/>
        <v>9.5</v>
      </c>
      <c r="C23">
        <v>10</v>
      </c>
      <c r="D23">
        <f t="shared" si="0"/>
        <v>8.1999999999999993</v>
      </c>
      <c r="E23">
        <f t="shared" si="1"/>
        <v>8.5</v>
      </c>
      <c r="F23">
        <f t="shared" si="2"/>
        <v>15.5</v>
      </c>
    </row>
    <row r="24" spans="2:6" x14ac:dyDescent="0.3">
      <c r="B24">
        <f t="shared" si="3"/>
        <v>10</v>
      </c>
      <c r="C24">
        <v>10</v>
      </c>
      <c r="D24">
        <f t="shared" si="0"/>
        <v>8</v>
      </c>
      <c r="E24">
        <f t="shared" si="1"/>
        <v>8</v>
      </c>
      <c r="F24">
        <f t="shared" si="2"/>
        <v>14</v>
      </c>
    </row>
    <row r="25" spans="2:6" x14ac:dyDescent="0.3">
      <c r="B25">
        <f t="shared" si="3"/>
        <v>10.5</v>
      </c>
      <c r="C25">
        <v>10</v>
      </c>
      <c r="D25">
        <f t="shared" si="0"/>
        <v>7.8</v>
      </c>
      <c r="E25">
        <f t="shared" si="1"/>
        <v>7.5</v>
      </c>
      <c r="F25">
        <f t="shared" si="2"/>
        <v>12.5</v>
      </c>
    </row>
    <row r="26" spans="2:6" x14ac:dyDescent="0.3">
      <c r="B26">
        <f t="shared" si="3"/>
        <v>11</v>
      </c>
      <c r="C26">
        <v>10</v>
      </c>
      <c r="D26">
        <f t="shared" si="0"/>
        <v>7.6</v>
      </c>
      <c r="E26">
        <f t="shared" si="1"/>
        <v>7</v>
      </c>
      <c r="F26">
        <f t="shared" si="2"/>
        <v>11</v>
      </c>
    </row>
    <row r="27" spans="2:6" x14ac:dyDescent="0.3">
      <c r="B27">
        <f t="shared" si="3"/>
        <v>11.5</v>
      </c>
      <c r="C27">
        <v>10</v>
      </c>
      <c r="D27">
        <f t="shared" si="0"/>
        <v>7.4</v>
      </c>
      <c r="E27">
        <f t="shared" si="1"/>
        <v>6.5</v>
      </c>
      <c r="F27">
        <f t="shared" si="2"/>
        <v>9.5</v>
      </c>
    </row>
    <row r="28" spans="2:6" x14ac:dyDescent="0.3">
      <c r="B28">
        <f t="shared" si="3"/>
        <v>12</v>
      </c>
      <c r="C28">
        <v>10</v>
      </c>
      <c r="D28">
        <f t="shared" si="0"/>
        <v>7.2</v>
      </c>
      <c r="E28">
        <f t="shared" si="1"/>
        <v>6</v>
      </c>
      <c r="F28">
        <f t="shared" si="2"/>
        <v>8</v>
      </c>
    </row>
    <row r="29" spans="2:6" x14ac:dyDescent="0.3">
      <c r="B29">
        <f t="shared" si="3"/>
        <v>12.5</v>
      </c>
      <c r="C29">
        <v>10</v>
      </c>
      <c r="D29">
        <f t="shared" si="0"/>
        <v>7</v>
      </c>
      <c r="E29">
        <f t="shared" si="1"/>
        <v>5.5</v>
      </c>
      <c r="F29">
        <f t="shared" si="2"/>
        <v>6.5</v>
      </c>
    </row>
    <row r="30" spans="2:6" x14ac:dyDescent="0.3">
      <c r="B30">
        <f t="shared" si="3"/>
        <v>13</v>
      </c>
      <c r="C30">
        <v>10</v>
      </c>
      <c r="D30">
        <f t="shared" si="0"/>
        <v>6.8</v>
      </c>
      <c r="E30">
        <f t="shared" si="1"/>
        <v>5</v>
      </c>
      <c r="F30">
        <f t="shared" si="2"/>
        <v>5</v>
      </c>
    </row>
    <row r="31" spans="2:6" x14ac:dyDescent="0.3">
      <c r="B31">
        <f t="shared" si="3"/>
        <v>13.5</v>
      </c>
      <c r="C31">
        <v>10</v>
      </c>
      <c r="D31">
        <f t="shared" si="0"/>
        <v>6.6</v>
      </c>
      <c r="E31">
        <f t="shared" si="1"/>
        <v>4.5</v>
      </c>
      <c r="F31">
        <f t="shared" si="2"/>
        <v>3.5</v>
      </c>
    </row>
    <row r="32" spans="2:6" x14ac:dyDescent="0.3">
      <c r="B32">
        <f t="shared" si="3"/>
        <v>14</v>
      </c>
      <c r="C32">
        <v>10</v>
      </c>
      <c r="D32">
        <f t="shared" si="0"/>
        <v>6.4</v>
      </c>
      <c r="E32">
        <f t="shared" si="1"/>
        <v>4</v>
      </c>
      <c r="F32">
        <f t="shared" si="2"/>
        <v>2</v>
      </c>
    </row>
    <row r="33" spans="2:6" x14ac:dyDescent="0.3">
      <c r="B33">
        <f t="shared" si="3"/>
        <v>14.5</v>
      </c>
      <c r="C33">
        <v>10</v>
      </c>
      <c r="D33">
        <f t="shared" si="0"/>
        <v>6.2</v>
      </c>
      <c r="E33">
        <f t="shared" si="1"/>
        <v>3.5</v>
      </c>
      <c r="F33">
        <f t="shared" si="2"/>
        <v>0.5</v>
      </c>
    </row>
    <row r="34" spans="2:6" x14ac:dyDescent="0.3">
      <c r="B34">
        <f t="shared" si="3"/>
        <v>15</v>
      </c>
      <c r="C34">
        <v>10</v>
      </c>
      <c r="D34">
        <f t="shared" si="0"/>
        <v>6</v>
      </c>
      <c r="E34">
        <f t="shared" si="1"/>
        <v>3</v>
      </c>
      <c r="F34">
        <f t="shared" si="2"/>
        <v>-1</v>
      </c>
    </row>
    <row r="35" spans="2:6" x14ac:dyDescent="0.3">
      <c r="B35">
        <f t="shared" si="3"/>
        <v>15.5</v>
      </c>
      <c r="C35">
        <v>10</v>
      </c>
      <c r="D35">
        <f t="shared" si="0"/>
        <v>5.8</v>
      </c>
      <c r="E35">
        <f t="shared" si="1"/>
        <v>2.5</v>
      </c>
      <c r="F35">
        <f t="shared" si="2"/>
        <v>-2.5</v>
      </c>
    </row>
    <row r="36" spans="2:6" x14ac:dyDescent="0.3">
      <c r="B36">
        <f t="shared" si="3"/>
        <v>16</v>
      </c>
      <c r="C36">
        <v>10</v>
      </c>
      <c r="D36">
        <f t="shared" si="0"/>
        <v>5.6</v>
      </c>
      <c r="E36">
        <f t="shared" si="1"/>
        <v>2</v>
      </c>
      <c r="F36">
        <f t="shared" si="2"/>
        <v>-4</v>
      </c>
    </row>
    <row r="37" spans="2:6" x14ac:dyDescent="0.3">
      <c r="B37">
        <f t="shared" si="3"/>
        <v>16.5</v>
      </c>
      <c r="C37">
        <v>10</v>
      </c>
      <c r="D37">
        <f t="shared" si="0"/>
        <v>5.4</v>
      </c>
      <c r="E37">
        <f t="shared" si="1"/>
        <v>1.5</v>
      </c>
      <c r="F37">
        <f t="shared" si="2"/>
        <v>-5.5</v>
      </c>
    </row>
    <row r="38" spans="2:6" x14ac:dyDescent="0.3">
      <c r="B38">
        <f t="shared" si="3"/>
        <v>17</v>
      </c>
      <c r="C38">
        <v>10</v>
      </c>
      <c r="D38">
        <f t="shared" si="0"/>
        <v>5.2</v>
      </c>
      <c r="E38">
        <f t="shared" si="1"/>
        <v>1</v>
      </c>
      <c r="F38">
        <f t="shared" si="2"/>
        <v>-7</v>
      </c>
    </row>
    <row r="39" spans="2:6" x14ac:dyDescent="0.3">
      <c r="B39">
        <f t="shared" si="3"/>
        <v>17.5</v>
      </c>
      <c r="C39">
        <v>10</v>
      </c>
      <c r="D39">
        <f t="shared" si="0"/>
        <v>5</v>
      </c>
      <c r="E39">
        <f t="shared" si="1"/>
        <v>0.5</v>
      </c>
      <c r="F39">
        <f t="shared" si="2"/>
        <v>-8.5</v>
      </c>
    </row>
    <row r="40" spans="2:6" x14ac:dyDescent="0.3">
      <c r="B40">
        <f t="shared" si="3"/>
        <v>18</v>
      </c>
      <c r="C40">
        <v>10</v>
      </c>
      <c r="D40">
        <f t="shared" si="0"/>
        <v>4.8</v>
      </c>
      <c r="E40">
        <f t="shared" si="1"/>
        <v>0</v>
      </c>
      <c r="F40">
        <f t="shared" si="2"/>
        <v>-10</v>
      </c>
    </row>
    <row r="41" spans="2:6" x14ac:dyDescent="0.3">
      <c r="B41">
        <f t="shared" si="3"/>
        <v>18.5</v>
      </c>
      <c r="C41">
        <v>10</v>
      </c>
      <c r="D41">
        <f t="shared" si="0"/>
        <v>4.5999999999999996</v>
      </c>
      <c r="E41">
        <f t="shared" si="1"/>
        <v>-0.5</v>
      </c>
      <c r="F41">
        <f t="shared" si="2"/>
        <v>-11.5</v>
      </c>
    </row>
    <row r="42" spans="2:6" x14ac:dyDescent="0.3">
      <c r="B42">
        <f t="shared" si="3"/>
        <v>19</v>
      </c>
      <c r="C42">
        <v>10</v>
      </c>
      <c r="D42">
        <f t="shared" si="0"/>
        <v>4.4000000000000004</v>
      </c>
      <c r="E42">
        <f t="shared" si="1"/>
        <v>-1</v>
      </c>
      <c r="F42">
        <f t="shared" si="2"/>
        <v>-13</v>
      </c>
    </row>
    <row r="43" spans="2:6" x14ac:dyDescent="0.3">
      <c r="B43">
        <f t="shared" si="3"/>
        <v>19.5</v>
      </c>
      <c r="C43">
        <v>10</v>
      </c>
      <c r="D43">
        <f t="shared" si="0"/>
        <v>4.2</v>
      </c>
      <c r="E43">
        <f t="shared" si="1"/>
        <v>-1.5</v>
      </c>
      <c r="F43">
        <f t="shared" si="2"/>
        <v>-14.5</v>
      </c>
    </row>
    <row r="44" spans="2:6" x14ac:dyDescent="0.3">
      <c r="B44">
        <f t="shared" si="3"/>
        <v>20</v>
      </c>
      <c r="C44">
        <v>10</v>
      </c>
      <c r="D44">
        <f t="shared" si="0"/>
        <v>4</v>
      </c>
      <c r="E44">
        <f t="shared" si="1"/>
        <v>-2</v>
      </c>
      <c r="F44">
        <f t="shared" si="2"/>
        <v>-16</v>
      </c>
    </row>
    <row r="45" spans="2:6" x14ac:dyDescent="0.3">
      <c r="B45">
        <f t="shared" si="3"/>
        <v>20.5</v>
      </c>
      <c r="C45">
        <v>10</v>
      </c>
      <c r="D45">
        <f t="shared" si="0"/>
        <v>3.8</v>
      </c>
      <c r="E45">
        <f t="shared" si="1"/>
        <v>-2.5</v>
      </c>
      <c r="F45">
        <f t="shared" si="2"/>
        <v>-17.5</v>
      </c>
    </row>
    <row r="46" spans="2:6" x14ac:dyDescent="0.3">
      <c r="B46">
        <f t="shared" si="3"/>
        <v>21</v>
      </c>
      <c r="C46">
        <v>10</v>
      </c>
      <c r="D46">
        <f t="shared" si="0"/>
        <v>3.6</v>
      </c>
      <c r="E46">
        <f t="shared" si="1"/>
        <v>-3</v>
      </c>
      <c r="F46">
        <f t="shared" si="2"/>
        <v>-19</v>
      </c>
    </row>
    <row r="47" spans="2:6" x14ac:dyDescent="0.3">
      <c r="B47">
        <f t="shared" si="3"/>
        <v>21.5</v>
      </c>
      <c r="C47">
        <v>10</v>
      </c>
      <c r="D47">
        <f t="shared" si="0"/>
        <v>3.4</v>
      </c>
      <c r="E47">
        <f t="shared" si="1"/>
        <v>-3.5</v>
      </c>
      <c r="F47">
        <f t="shared" si="2"/>
        <v>-20.5</v>
      </c>
    </row>
    <row r="48" spans="2:6" x14ac:dyDescent="0.3">
      <c r="B48">
        <f t="shared" si="3"/>
        <v>22</v>
      </c>
      <c r="C48">
        <v>10</v>
      </c>
      <c r="D48">
        <f t="shared" si="0"/>
        <v>3.2</v>
      </c>
      <c r="E48">
        <f t="shared" si="1"/>
        <v>-4</v>
      </c>
      <c r="F48">
        <f t="shared" si="2"/>
        <v>-22</v>
      </c>
    </row>
    <row r="49" spans="2:6" x14ac:dyDescent="0.3">
      <c r="B49">
        <f t="shared" si="3"/>
        <v>22.5</v>
      </c>
      <c r="C49">
        <v>10</v>
      </c>
      <c r="D49">
        <f t="shared" si="0"/>
        <v>3</v>
      </c>
      <c r="E49">
        <f t="shared" si="1"/>
        <v>-4.5</v>
      </c>
      <c r="F49">
        <f t="shared" si="2"/>
        <v>-23.5</v>
      </c>
    </row>
    <row r="50" spans="2:6" x14ac:dyDescent="0.3">
      <c r="B50">
        <f t="shared" si="3"/>
        <v>23</v>
      </c>
      <c r="C50">
        <v>10</v>
      </c>
      <c r="D50">
        <f t="shared" si="0"/>
        <v>2.8</v>
      </c>
      <c r="E50">
        <f t="shared" si="1"/>
        <v>-5</v>
      </c>
      <c r="F50">
        <f t="shared" si="2"/>
        <v>-25</v>
      </c>
    </row>
    <row r="51" spans="2:6" x14ac:dyDescent="0.3">
      <c r="B51">
        <f t="shared" si="3"/>
        <v>23.5</v>
      </c>
      <c r="C51">
        <v>10</v>
      </c>
      <c r="D51">
        <f t="shared" si="0"/>
        <v>2.6</v>
      </c>
      <c r="E51">
        <f t="shared" si="1"/>
        <v>-5.5</v>
      </c>
      <c r="F51">
        <f t="shared" si="2"/>
        <v>-26.5</v>
      </c>
    </row>
    <row r="52" spans="2:6" x14ac:dyDescent="0.3">
      <c r="B52">
        <f t="shared" si="3"/>
        <v>24</v>
      </c>
      <c r="C52">
        <v>10</v>
      </c>
      <c r="D52">
        <f t="shared" si="0"/>
        <v>2.4</v>
      </c>
      <c r="E52">
        <f t="shared" si="1"/>
        <v>-6</v>
      </c>
      <c r="F52">
        <f t="shared" si="2"/>
        <v>-28</v>
      </c>
    </row>
    <row r="53" spans="2:6" x14ac:dyDescent="0.3">
      <c r="B53">
        <f t="shared" si="3"/>
        <v>24.5</v>
      </c>
      <c r="C53">
        <v>10</v>
      </c>
      <c r="D53">
        <f t="shared" si="0"/>
        <v>2.2000000000000002</v>
      </c>
      <c r="E53">
        <f t="shared" si="1"/>
        <v>-6.5</v>
      </c>
      <c r="F53">
        <f t="shared" si="2"/>
        <v>-29.5</v>
      </c>
    </row>
    <row r="54" spans="2:6" x14ac:dyDescent="0.3">
      <c r="B54">
        <f t="shared" si="3"/>
        <v>25</v>
      </c>
      <c r="C54">
        <v>10</v>
      </c>
      <c r="D54">
        <f t="shared" si="0"/>
        <v>2</v>
      </c>
      <c r="E54">
        <f t="shared" si="1"/>
        <v>-7</v>
      </c>
      <c r="F54">
        <f t="shared" si="2"/>
        <v>-31</v>
      </c>
    </row>
    <row r="55" spans="2:6" x14ac:dyDescent="0.3">
      <c r="B55">
        <f t="shared" si="3"/>
        <v>25.5</v>
      </c>
      <c r="C55">
        <v>10</v>
      </c>
      <c r="D55">
        <f t="shared" si="0"/>
        <v>1.8</v>
      </c>
      <c r="E55">
        <f t="shared" si="1"/>
        <v>-7.5</v>
      </c>
      <c r="F55">
        <f t="shared" si="2"/>
        <v>-32.5</v>
      </c>
    </row>
    <row r="56" spans="2:6" x14ac:dyDescent="0.3">
      <c r="B56">
        <f t="shared" si="3"/>
        <v>26</v>
      </c>
      <c r="C56">
        <v>10</v>
      </c>
      <c r="D56">
        <f t="shared" si="0"/>
        <v>1.6</v>
      </c>
      <c r="E56">
        <f t="shared" si="1"/>
        <v>-8</v>
      </c>
      <c r="F56">
        <f t="shared" si="2"/>
        <v>-34</v>
      </c>
    </row>
    <row r="57" spans="2:6" x14ac:dyDescent="0.3">
      <c r="B57">
        <f t="shared" si="3"/>
        <v>26.5</v>
      </c>
      <c r="C57">
        <v>10</v>
      </c>
      <c r="D57">
        <f t="shared" si="0"/>
        <v>1.4</v>
      </c>
      <c r="E57">
        <f t="shared" si="1"/>
        <v>-8.5</v>
      </c>
      <c r="F57">
        <f t="shared" si="2"/>
        <v>-35.5</v>
      </c>
    </row>
    <row r="58" spans="2:6" x14ac:dyDescent="0.3">
      <c r="B58">
        <f t="shared" si="3"/>
        <v>27</v>
      </c>
      <c r="C58">
        <v>10</v>
      </c>
      <c r="D58">
        <f t="shared" si="0"/>
        <v>1.2</v>
      </c>
      <c r="E58">
        <f t="shared" si="1"/>
        <v>-9</v>
      </c>
      <c r="F58">
        <f t="shared" si="2"/>
        <v>-37</v>
      </c>
    </row>
    <row r="59" spans="2:6" x14ac:dyDescent="0.3">
      <c r="B59">
        <f t="shared" si="3"/>
        <v>27.5</v>
      </c>
      <c r="C59">
        <v>10</v>
      </c>
      <c r="D59">
        <f t="shared" si="0"/>
        <v>1</v>
      </c>
      <c r="E59">
        <f t="shared" si="1"/>
        <v>-9.5</v>
      </c>
      <c r="F59">
        <f t="shared" si="2"/>
        <v>-38.5</v>
      </c>
    </row>
    <row r="60" spans="2:6" x14ac:dyDescent="0.3">
      <c r="B60">
        <f t="shared" si="3"/>
        <v>28</v>
      </c>
      <c r="C60">
        <v>10</v>
      </c>
      <c r="D60">
        <f t="shared" si="0"/>
        <v>0.8</v>
      </c>
      <c r="E60">
        <f t="shared" si="1"/>
        <v>-10</v>
      </c>
      <c r="F60">
        <f t="shared" si="2"/>
        <v>-40</v>
      </c>
    </row>
    <row r="61" spans="2:6" x14ac:dyDescent="0.3">
      <c r="B61">
        <f t="shared" si="3"/>
        <v>28.5</v>
      </c>
      <c r="C61">
        <v>10</v>
      </c>
      <c r="D61">
        <f t="shared" si="0"/>
        <v>0.6</v>
      </c>
      <c r="E61">
        <f t="shared" si="1"/>
        <v>-10.5</v>
      </c>
      <c r="F61">
        <f t="shared" si="2"/>
        <v>-41.5</v>
      </c>
    </row>
    <row r="62" spans="2:6" x14ac:dyDescent="0.3">
      <c r="B62">
        <f t="shared" si="3"/>
        <v>29</v>
      </c>
      <c r="C62">
        <v>10</v>
      </c>
      <c r="D62">
        <f t="shared" si="0"/>
        <v>0.4</v>
      </c>
      <c r="E62">
        <f t="shared" si="1"/>
        <v>-11</v>
      </c>
      <c r="F62">
        <f t="shared" si="2"/>
        <v>-43</v>
      </c>
    </row>
    <row r="63" spans="2:6" x14ac:dyDescent="0.3">
      <c r="B63">
        <f t="shared" si="3"/>
        <v>29.5</v>
      </c>
      <c r="C63">
        <v>10</v>
      </c>
      <c r="D63">
        <f t="shared" si="0"/>
        <v>0.2</v>
      </c>
      <c r="E63">
        <f t="shared" si="1"/>
        <v>-11.5</v>
      </c>
      <c r="F63">
        <f t="shared" si="2"/>
        <v>-44.5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A471-6EBF-4A59-A9C2-2AA5FE75C511}">
  <dimension ref="F9:W21"/>
  <sheetViews>
    <sheetView workbookViewId="0">
      <selection activeCell="S12" sqref="S12"/>
    </sheetView>
  </sheetViews>
  <sheetFormatPr defaultRowHeight="14.4" x14ac:dyDescent="0.3"/>
  <cols>
    <col min="6" max="6" width="5.5546875" bestFit="1" customWidth="1"/>
    <col min="7" max="7" width="5.88671875" bestFit="1" customWidth="1"/>
    <col min="8" max="8" width="5.5546875" bestFit="1" customWidth="1"/>
    <col min="9" max="17" width="6.33203125" bestFit="1" customWidth="1"/>
    <col min="19" max="19" width="19" customWidth="1"/>
    <col min="23" max="23" width="15.109375" style="7" bestFit="1" customWidth="1"/>
  </cols>
  <sheetData>
    <row r="9" spans="6:23" ht="18" x14ac:dyDescent="0.35"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</row>
    <row r="10" spans="6:23" s="3" customFormat="1" ht="18" x14ac:dyDescent="0.35">
      <c r="F10" s="2">
        <v>1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S10" s="4">
        <f>SUMPRODUCT(F10:Q10,F21:Q21)</f>
        <v>12</v>
      </c>
      <c r="W10" s="4">
        <v>12</v>
      </c>
    </row>
    <row r="11" spans="6:23" s="3" customFormat="1" ht="18" x14ac:dyDescent="0.35">
      <c r="F11" s="2">
        <v>0</v>
      </c>
      <c r="G11" s="2">
        <v>1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1</v>
      </c>
      <c r="Q11" s="2">
        <v>0</v>
      </c>
      <c r="S11" s="4">
        <f>SUMPRODUCT(F11:Q11,F21:Q21)</f>
        <v>18</v>
      </c>
      <c r="W11" s="4">
        <v>18</v>
      </c>
    </row>
    <row r="12" spans="6:23" s="3" customFormat="1" ht="18" x14ac:dyDescent="0.35"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1</v>
      </c>
      <c r="S12" s="4">
        <f>SUMPRODUCT(F12:Q12,F21:Q21)</f>
        <v>10</v>
      </c>
      <c r="W12" s="4">
        <v>10</v>
      </c>
    </row>
    <row r="13" spans="6:23" s="3" customFormat="1" ht="18" x14ac:dyDescent="0.35">
      <c r="F13" s="2">
        <v>500</v>
      </c>
      <c r="G13" s="2">
        <v>0</v>
      </c>
      <c r="H13" s="2">
        <v>0</v>
      </c>
      <c r="I13" s="2">
        <v>700</v>
      </c>
      <c r="J13" s="2">
        <v>0</v>
      </c>
      <c r="K13" s="2">
        <v>0</v>
      </c>
      <c r="L13" s="2">
        <v>600</v>
      </c>
      <c r="M13" s="2">
        <v>0</v>
      </c>
      <c r="N13" s="2">
        <v>0</v>
      </c>
      <c r="O13" s="2">
        <v>400</v>
      </c>
      <c r="P13" s="2">
        <v>0</v>
      </c>
      <c r="Q13" s="2">
        <v>0</v>
      </c>
      <c r="S13" s="4">
        <f>SUMPRODUCT(F13:Q13,F21:Q21)</f>
        <v>7000</v>
      </c>
      <c r="W13" s="4">
        <v>7000</v>
      </c>
    </row>
    <row r="14" spans="6:23" s="3" customFormat="1" ht="18" x14ac:dyDescent="0.35">
      <c r="F14" s="2">
        <v>0</v>
      </c>
      <c r="G14" s="2">
        <v>500</v>
      </c>
      <c r="H14" s="2">
        <v>0</v>
      </c>
      <c r="I14" s="2">
        <v>0</v>
      </c>
      <c r="J14" s="2">
        <v>700</v>
      </c>
      <c r="K14" s="2">
        <v>0</v>
      </c>
      <c r="L14" s="2">
        <v>0</v>
      </c>
      <c r="M14" s="2">
        <v>600</v>
      </c>
      <c r="N14" s="2">
        <v>0</v>
      </c>
      <c r="O14" s="2">
        <v>0</v>
      </c>
      <c r="P14" s="2">
        <v>400</v>
      </c>
      <c r="Q14" s="2">
        <v>0</v>
      </c>
      <c r="S14" s="4">
        <f>SUMPRODUCT(F14:Q14,F21:Q21)</f>
        <v>8999.9999999999982</v>
      </c>
      <c r="W14" s="4">
        <v>9000</v>
      </c>
    </row>
    <row r="15" spans="6:23" s="3" customFormat="1" ht="18" x14ac:dyDescent="0.35">
      <c r="F15" s="2">
        <v>0</v>
      </c>
      <c r="G15" s="2">
        <v>0</v>
      </c>
      <c r="H15" s="2">
        <v>500</v>
      </c>
      <c r="I15" s="2">
        <v>0</v>
      </c>
      <c r="J15" s="2">
        <v>0</v>
      </c>
      <c r="K15" s="2">
        <v>700</v>
      </c>
      <c r="L15" s="2">
        <v>0</v>
      </c>
      <c r="M15" s="2">
        <v>0</v>
      </c>
      <c r="N15" s="2">
        <v>600</v>
      </c>
      <c r="O15" s="2">
        <v>0</v>
      </c>
      <c r="P15" s="2">
        <v>0</v>
      </c>
      <c r="Q15" s="2">
        <v>400</v>
      </c>
      <c r="S15" s="4">
        <f>SUMPRODUCT(F15:Q15,F21:Q21)</f>
        <v>5000</v>
      </c>
      <c r="W15" s="4">
        <v>5000</v>
      </c>
    </row>
    <row r="16" spans="6:23" s="3" customFormat="1" ht="18" x14ac:dyDescent="0.35">
      <c r="F16" s="2">
        <v>1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S16" s="4">
        <f>SUMPRODUCT(F16:Q16,F21:Q21)</f>
        <v>15.500000000000004</v>
      </c>
      <c r="W16" s="4">
        <v>20</v>
      </c>
    </row>
    <row r="17" spans="6:23" s="3" customFormat="1" ht="18" x14ac:dyDescent="0.35"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S17" s="4">
        <f>SUMPRODUCT(F17:Q17,F21:Q21)</f>
        <v>11.499999999999995</v>
      </c>
      <c r="W17" s="4">
        <v>16</v>
      </c>
    </row>
    <row r="18" spans="6:23" s="3" customFormat="1" ht="18" x14ac:dyDescent="0.35"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1</v>
      </c>
      <c r="O18" s="2">
        <v>0</v>
      </c>
      <c r="P18" s="2">
        <v>0</v>
      </c>
      <c r="Q18" s="2">
        <v>0</v>
      </c>
      <c r="S18" s="4">
        <f>SUMPRODUCT(F18:Q18,F21:Q21)</f>
        <v>0</v>
      </c>
      <c r="W18" s="4">
        <v>25</v>
      </c>
    </row>
    <row r="19" spans="6:23" s="3" customFormat="1" ht="18" x14ac:dyDescent="0.35"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s="2">
        <v>1</v>
      </c>
      <c r="S19" s="4">
        <f>SUMPRODUCT(F19:Q19,F21:Q21)</f>
        <v>13</v>
      </c>
      <c r="W19" s="4">
        <v>13</v>
      </c>
    </row>
    <row r="21" spans="6:23" ht="18" x14ac:dyDescent="0.35">
      <c r="F21" s="2">
        <v>7.0000000000000009</v>
      </c>
      <c r="G21" s="2">
        <v>8.5000000000000036</v>
      </c>
      <c r="H21" s="2">
        <v>0</v>
      </c>
      <c r="I21" s="2">
        <v>5</v>
      </c>
      <c r="J21" s="2">
        <v>3.1666666666666634</v>
      </c>
      <c r="K21" s="2">
        <v>3.3333333333333308</v>
      </c>
      <c r="L21" s="2">
        <v>0</v>
      </c>
      <c r="M21" s="2">
        <v>0</v>
      </c>
      <c r="N21" s="2">
        <v>0</v>
      </c>
      <c r="O21" s="2">
        <v>0</v>
      </c>
      <c r="P21" s="2">
        <v>6.3333333333333304</v>
      </c>
      <c r="Q21" s="6">
        <v>6.6666666666666696</v>
      </c>
      <c r="S21" s="5">
        <f>320*(F21+G21+H21)+400*(I21+J21+K21)+360*(L21+M21+N21)+290*(O19+P21+Q21)</f>
        <v>13620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734C-FF9D-4DC7-86DB-F523C72778AF}">
  <dimension ref="F9:N14"/>
  <sheetViews>
    <sheetView workbookViewId="0">
      <selection activeCell="N13" sqref="N13"/>
    </sheetView>
  </sheetViews>
  <sheetFormatPr defaultRowHeight="14.4" x14ac:dyDescent="0.3"/>
  <cols>
    <col min="6" max="6" width="5.5546875" bestFit="1" customWidth="1"/>
    <col min="7" max="7" width="5.88671875" bestFit="1" customWidth="1"/>
    <col min="8" max="8" width="5.5546875" bestFit="1" customWidth="1"/>
    <col min="10" max="10" width="19" customWidth="1"/>
    <col min="14" max="14" width="15.109375" style="7" bestFit="1" customWidth="1"/>
  </cols>
  <sheetData>
    <row r="9" spans="6:14" ht="18" x14ac:dyDescent="0.35">
      <c r="F9" s="1" t="s">
        <v>1</v>
      </c>
      <c r="G9" s="1" t="s">
        <v>0</v>
      </c>
      <c r="H9" s="1" t="s">
        <v>2</v>
      </c>
    </row>
    <row r="10" spans="6:14" s="3" customFormat="1" ht="18" x14ac:dyDescent="0.35">
      <c r="F10" s="2">
        <v>6</v>
      </c>
      <c r="G10" s="2">
        <v>4</v>
      </c>
      <c r="H10" s="2">
        <v>5</v>
      </c>
      <c r="J10" s="4">
        <f>SUMPRODUCT(F10:H10,F14:H14)</f>
        <v>8</v>
      </c>
      <c r="N10" s="4">
        <v>8</v>
      </c>
    </row>
    <row r="11" spans="6:14" s="3" customFormat="1" ht="18" x14ac:dyDescent="0.35">
      <c r="F11" s="2">
        <v>2</v>
      </c>
      <c r="G11" s="2">
        <v>1</v>
      </c>
      <c r="H11" s="2">
        <v>2</v>
      </c>
      <c r="J11" s="4">
        <f>SUMPRODUCT(F11:H11,F14:H14)</f>
        <v>2</v>
      </c>
      <c r="N11" s="4">
        <v>2</v>
      </c>
    </row>
    <row r="12" spans="6:14" s="3" customFormat="1" ht="18" x14ac:dyDescent="0.35">
      <c r="F12" s="2">
        <v>4</v>
      </c>
      <c r="G12" s="2">
        <v>2</v>
      </c>
      <c r="H12" s="2">
        <v>3</v>
      </c>
      <c r="J12" s="4">
        <f>SUMPRODUCT(F12:H12,F14:H14)</f>
        <v>4</v>
      </c>
      <c r="N12" s="4">
        <v>4</v>
      </c>
    </row>
    <row r="14" spans="6:14" ht="18" x14ac:dyDescent="0.35">
      <c r="F14" s="2">
        <v>0</v>
      </c>
      <c r="G14" s="2">
        <v>2</v>
      </c>
      <c r="H14" s="2">
        <v>0</v>
      </c>
      <c r="J14" s="5">
        <f>4*F14+3*G14+2*H14</f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BAED-84CB-4A17-BA37-0F264C119E58}">
  <dimension ref="F9:M13"/>
  <sheetViews>
    <sheetView workbookViewId="0">
      <selection activeCell="I13" sqref="I13"/>
    </sheetView>
  </sheetViews>
  <sheetFormatPr defaultRowHeight="14.4" x14ac:dyDescent="0.3"/>
  <cols>
    <col min="6" max="6" width="5.5546875" bestFit="1" customWidth="1"/>
    <col min="7" max="7" width="5.88671875" bestFit="1" customWidth="1"/>
    <col min="9" max="9" width="19" customWidth="1"/>
    <col min="13" max="13" width="15.109375" style="7" bestFit="1" customWidth="1"/>
  </cols>
  <sheetData>
    <row r="9" spans="6:13" ht="18" x14ac:dyDescent="0.35">
      <c r="F9" s="1" t="s">
        <v>1</v>
      </c>
      <c r="G9" s="1" t="s">
        <v>0</v>
      </c>
    </row>
    <row r="10" spans="6:13" s="3" customFormat="1" ht="18" x14ac:dyDescent="0.35">
      <c r="F10" s="2">
        <f>5000/400</f>
        <v>12.5</v>
      </c>
      <c r="G10" s="2">
        <f>4000/500</f>
        <v>8</v>
      </c>
      <c r="I10" s="4">
        <f>SUMPRODUCT(F10:G10,F13:G13)</f>
        <v>6000</v>
      </c>
      <c r="M10" s="4">
        <v>6000</v>
      </c>
    </row>
    <row r="11" spans="6:13" s="3" customFormat="1" ht="18" x14ac:dyDescent="0.35">
      <c r="F11" s="2">
        <v>1</v>
      </c>
      <c r="G11" s="2">
        <v>1</v>
      </c>
      <c r="I11" s="4">
        <f>SUMPRODUCT(F11:G11,F13:G13)</f>
        <v>600</v>
      </c>
      <c r="M11" s="4">
        <v>600</v>
      </c>
    </row>
    <row r="13" spans="6:13" ht="18" x14ac:dyDescent="0.35">
      <c r="F13" s="2">
        <v>266.66666666666669</v>
      </c>
      <c r="G13" s="2">
        <v>333.33333333333331</v>
      </c>
      <c r="I13" s="5">
        <f>4500/400*F13+4500/500*G13</f>
        <v>6000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28A5-59B9-4F79-8016-14899E402055}">
  <dimension ref="B3:N27"/>
  <sheetViews>
    <sheetView tabSelected="1" topLeftCell="A10" workbookViewId="0">
      <selection activeCell="K20" sqref="K20"/>
    </sheetView>
  </sheetViews>
  <sheetFormatPr defaultRowHeight="14.4" x14ac:dyDescent="0.3"/>
  <cols>
    <col min="2" max="2" width="10.5546875" customWidth="1"/>
    <col min="7" max="7" width="12" bestFit="1" customWidth="1"/>
  </cols>
  <sheetData>
    <row r="3" spans="2:14" x14ac:dyDescent="0.3">
      <c r="C3" t="s">
        <v>15</v>
      </c>
    </row>
    <row r="5" spans="2:14" x14ac:dyDescent="0.3">
      <c r="C5" t="s">
        <v>16</v>
      </c>
    </row>
    <row r="11" spans="2:14" ht="15.6" x14ac:dyDescent="0.3">
      <c r="D11" s="8" t="s">
        <v>17</v>
      </c>
    </row>
    <row r="12" spans="2:14" ht="15" thickBot="1" x14ac:dyDescent="0.35"/>
    <row r="13" spans="2:14" x14ac:dyDescent="0.3">
      <c r="D13" s="23"/>
      <c r="E13" s="21" t="s">
        <v>18</v>
      </c>
      <c r="F13" s="21" t="s">
        <v>1</v>
      </c>
      <c r="G13" s="21" t="s">
        <v>0</v>
      </c>
      <c r="H13" s="21" t="s">
        <v>19</v>
      </c>
      <c r="I13" s="21" t="s">
        <v>20</v>
      </c>
      <c r="J13" s="22" t="s">
        <v>21</v>
      </c>
    </row>
    <row r="14" spans="2:14" x14ac:dyDescent="0.3">
      <c r="D14" s="24" t="s">
        <v>19</v>
      </c>
      <c r="E14" s="26">
        <v>0</v>
      </c>
      <c r="F14" s="10">
        <v>3</v>
      </c>
      <c r="G14" s="9">
        <v>2</v>
      </c>
      <c r="H14" s="9">
        <v>1</v>
      </c>
      <c r="I14" s="9">
        <v>0</v>
      </c>
      <c r="J14" s="13">
        <v>30</v>
      </c>
      <c r="M14">
        <f>J14/F14</f>
        <v>10</v>
      </c>
      <c r="N14" t="s">
        <v>26</v>
      </c>
    </row>
    <row r="15" spans="2:14" x14ac:dyDescent="0.3">
      <c r="B15" s="12" t="s">
        <v>24</v>
      </c>
      <c r="D15" s="24" t="s">
        <v>20</v>
      </c>
      <c r="E15" s="26">
        <v>0</v>
      </c>
      <c r="F15" s="11">
        <v>2</v>
      </c>
      <c r="G15" s="9">
        <v>3</v>
      </c>
      <c r="H15" s="9">
        <v>0</v>
      </c>
      <c r="I15" s="9">
        <v>1</v>
      </c>
      <c r="J15" s="13">
        <v>30</v>
      </c>
      <c r="M15">
        <f>J15/F15</f>
        <v>15</v>
      </c>
    </row>
    <row r="16" spans="2:14" x14ac:dyDescent="0.3">
      <c r="D16" s="24"/>
      <c r="E16" s="26" t="s">
        <v>22</v>
      </c>
      <c r="F16" s="11">
        <v>0</v>
      </c>
      <c r="G16" s="9">
        <v>0</v>
      </c>
      <c r="H16" s="9">
        <v>0</v>
      </c>
      <c r="I16" s="9">
        <v>0</v>
      </c>
      <c r="J16" s="13">
        <v>0</v>
      </c>
    </row>
    <row r="17" spans="2:14" ht="15" thickBot="1" x14ac:dyDescent="0.35">
      <c r="D17" s="25"/>
      <c r="E17" s="27" t="s">
        <v>23</v>
      </c>
      <c r="F17" s="15">
        <v>8</v>
      </c>
      <c r="G17" s="14">
        <v>6</v>
      </c>
      <c r="H17" s="14">
        <v>0</v>
      </c>
      <c r="I17" s="14">
        <v>0</v>
      </c>
      <c r="J17" s="16"/>
    </row>
    <row r="18" spans="2:14" x14ac:dyDescent="0.3">
      <c r="D18" s="23"/>
      <c r="E18" s="21" t="s">
        <v>18</v>
      </c>
      <c r="F18" s="21" t="s">
        <v>1</v>
      </c>
      <c r="G18" s="21" t="s">
        <v>0</v>
      </c>
      <c r="H18" s="21" t="s">
        <v>19</v>
      </c>
      <c r="I18" s="21" t="s">
        <v>20</v>
      </c>
      <c r="J18" s="22" t="s">
        <v>21</v>
      </c>
    </row>
    <row r="19" spans="2:14" x14ac:dyDescent="0.3">
      <c r="D19" s="24" t="s">
        <v>1</v>
      </c>
      <c r="E19" s="26">
        <v>8</v>
      </c>
      <c r="F19" s="11">
        <v>1</v>
      </c>
      <c r="G19" s="11">
        <f>G14/F14</f>
        <v>0.66666666666666663</v>
      </c>
      <c r="H19" s="11">
        <f>H14/F14</f>
        <v>0.33333333333333331</v>
      </c>
      <c r="I19" s="11">
        <f>I14/F14</f>
        <v>0</v>
      </c>
      <c r="J19" s="17">
        <f>J14/F14</f>
        <v>10</v>
      </c>
      <c r="K19" s="19"/>
      <c r="L19" s="29"/>
      <c r="M19">
        <f>J19/G19</f>
        <v>15</v>
      </c>
    </row>
    <row r="20" spans="2:14" x14ac:dyDescent="0.3">
      <c r="B20" s="12" t="s">
        <v>25</v>
      </c>
      <c r="D20" s="24" t="s">
        <v>20</v>
      </c>
      <c r="E20" s="26">
        <v>0</v>
      </c>
      <c r="F20" s="11">
        <f>F19*K20+F15</f>
        <v>0</v>
      </c>
      <c r="G20" s="10">
        <f>G19*K20+G15</f>
        <v>1.6666666666666667</v>
      </c>
      <c r="H20" s="11">
        <f>H15*K20+H15</f>
        <v>0</v>
      </c>
      <c r="I20" s="11">
        <f>I19*K20+I15</f>
        <v>1</v>
      </c>
      <c r="J20" s="17">
        <f>J19*K20+J15</f>
        <v>10</v>
      </c>
      <c r="K20">
        <f>-F15</f>
        <v>-2</v>
      </c>
      <c r="M20">
        <f>J20/G20</f>
        <v>6</v>
      </c>
      <c r="N20" t="s">
        <v>26</v>
      </c>
    </row>
    <row r="21" spans="2:14" x14ac:dyDescent="0.3">
      <c r="D21" s="24"/>
      <c r="E21" s="26" t="s">
        <v>22</v>
      </c>
      <c r="F21" s="11">
        <f>E19*F19+E20*F20</f>
        <v>8</v>
      </c>
      <c r="G21" s="11">
        <f>E19*H19+E20*H20</f>
        <v>2.6666666666666665</v>
      </c>
      <c r="H21" s="11">
        <f>E19*H19+E20*H20</f>
        <v>2.6666666666666665</v>
      </c>
      <c r="I21" s="11">
        <f>E19*I19+E20*I20</f>
        <v>0</v>
      </c>
      <c r="J21" s="17">
        <f>E19*J19+E20*J20</f>
        <v>80</v>
      </c>
    </row>
    <row r="22" spans="2:14" ht="15" thickBot="1" x14ac:dyDescent="0.35">
      <c r="D22" s="25"/>
      <c r="E22" s="27" t="s">
        <v>23</v>
      </c>
      <c r="F22" s="18">
        <f>F17-F21</f>
        <v>0</v>
      </c>
      <c r="G22" s="15">
        <f>G17-G21</f>
        <v>3.3333333333333335</v>
      </c>
      <c r="H22" s="18">
        <f>H17-H21</f>
        <v>-2.6666666666666665</v>
      </c>
      <c r="I22" s="18">
        <f>I17-I21</f>
        <v>0</v>
      </c>
      <c r="J22" s="28"/>
    </row>
    <row r="23" spans="2:14" x14ac:dyDescent="0.3">
      <c r="D23" s="23"/>
      <c r="E23" s="21" t="s">
        <v>18</v>
      </c>
      <c r="F23" s="21" t="s">
        <v>1</v>
      </c>
      <c r="G23" s="21" t="s">
        <v>0</v>
      </c>
      <c r="H23" s="21" t="s">
        <v>19</v>
      </c>
      <c r="I23" s="21" t="s">
        <v>20</v>
      </c>
      <c r="J23" s="22" t="s">
        <v>21</v>
      </c>
    </row>
    <row r="24" spans="2:14" x14ac:dyDescent="0.3">
      <c r="D24" s="24" t="s">
        <v>1</v>
      </c>
      <c r="E24" s="26">
        <v>8</v>
      </c>
      <c r="F24" s="11">
        <f>F25*K24+F19</f>
        <v>1</v>
      </c>
      <c r="G24" s="11">
        <f>G25*K24+G19</f>
        <v>0</v>
      </c>
      <c r="H24" s="11">
        <f>H25*K24+H19</f>
        <v>0.33333333333333331</v>
      </c>
      <c r="I24" s="11">
        <f>I25*K24+I19</f>
        <v>-0.39999999999999997</v>
      </c>
      <c r="J24" s="17">
        <f>J25*K24+J19</f>
        <v>6</v>
      </c>
      <c r="K24">
        <f>-G19</f>
        <v>-0.66666666666666663</v>
      </c>
    </row>
    <row r="25" spans="2:14" x14ac:dyDescent="0.3">
      <c r="B25" s="12" t="s">
        <v>27</v>
      </c>
      <c r="D25" s="24" t="s">
        <v>0</v>
      </c>
      <c r="E25" s="26">
        <v>6</v>
      </c>
      <c r="F25" s="11">
        <f>F20/G20</f>
        <v>0</v>
      </c>
      <c r="G25" s="11">
        <v>1</v>
      </c>
      <c r="H25" s="11">
        <f>H20/G20</f>
        <v>0</v>
      </c>
      <c r="I25" s="11">
        <f>I20/G20</f>
        <v>0.6</v>
      </c>
      <c r="J25" s="17">
        <f>J20/G20</f>
        <v>6</v>
      </c>
      <c r="K25" s="20"/>
      <c r="L25" s="34"/>
    </row>
    <row r="26" spans="2:14" x14ac:dyDescent="0.3">
      <c r="D26" s="24"/>
      <c r="E26" s="26" t="s">
        <v>22</v>
      </c>
      <c r="F26" s="11">
        <f>E24*F24+E25*F25</f>
        <v>8</v>
      </c>
      <c r="G26" s="11">
        <f>E24*G24+E25*G25</f>
        <v>6</v>
      </c>
      <c r="H26" s="9">
        <f>E24*H24+E25*H25</f>
        <v>2.6666666666666665</v>
      </c>
      <c r="I26" s="9">
        <f>E24*I24+E25*I25</f>
        <v>0.39999999999999991</v>
      </c>
      <c r="J26" s="13">
        <f>E24*J24+E25*J25</f>
        <v>84</v>
      </c>
    </row>
    <row r="27" spans="2:14" ht="15" thickBot="1" x14ac:dyDescent="0.35">
      <c r="D27" s="25"/>
      <c r="E27" s="27" t="s">
        <v>23</v>
      </c>
      <c r="F27" s="18">
        <f>F17-F26</f>
        <v>0</v>
      </c>
      <c r="G27" s="18">
        <f>G17-G26</f>
        <v>0</v>
      </c>
      <c r="H27" s="14">
        <f>H17-H26</f>
        <v>-2.6666666666666665</v>
      </c>
      <c r="I27" s="14">
        <f>I17-I26</f>
        <v>-0.39999999999999991</v>
      </c>
      <c r="J27" s="16"/>
    </row>
  </sheetData>
  <pageMargins left="0.511811024" right="0.511811024" top="0.78740157499999996" bottom="0.78740157499999996" header="0.31496062000000002" footer="0.31496062000000002"/>
  <ignoredErrors>
    <ignoredError sqref="I25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6673-DEF0-48A7-B604-36339FA1B3A4}">
  <dimension ref="B3:O25"/>
  <sheetViews>
    <sheetView topLeftCell="A6" workbookViewId="0">
      <selection activeCell="O23" sqref="O23"/>
    </sheetView>
  </sheetViews>
  <sheetFormatPr defaultRowHeight="14.4" x14ac:dyDescent="0.3"/>
  <cols>
    <col min="2" max="2" width="10.5546875" customWidth="1"/>
    <col min="7" max="7" width="9.44140625" customWidth="1"/>
    <col min="8" max="8" width="8" customWidth="1"/>
  </cols>
  <sheetData>
    <row r="3" spans="2:15" x14ac:dyDescent="0.3">
      <c r="C3" t="s">
        <v>15</v>
      </c>
    </row>
    <row r="5" spans="2:15" x14ac:dyDescent="0.3">
      <c r="C5" t="s">
        <v>16</v>
      </c>
    </row>
    <row r="10" spans="2:15" ht="28.2" customHeight="1" x14ac:dyDescent="0.3"/>
    <row r="11" spans="2:15" ht="15.6" x14ac:dyDescent="0.3">
      <c r="D11" s="8" t="s">
        <v>17</v>
      </c>
    </row>
    <row r="12" spans="2:15" ht="15" thickBot="1" x14ac:dyDescent="0.35"/>
    <row r="13" spans="2:15" x14ac:dyDescent="0.3">
      <c r="D13" s="23"/>
      <c r="E13" s="21" t="s">
        <v>18</v>
      </c>
      <c r="F13" s="21" t="s">
        <v>1</v>
      </c>
      <c r="G13" s="21" t="s">
        <v>0</v>
      </c>
      <c r="H13" s="21" t="s">
        <v>2</v>
      </c>
      <c r="I13" s="21" t="s">
        <v>19</v>
      </c>
      <c r="J13" s="21" t="s">
        <v>20</v>
      </c>
      <c r="K13" s="31" t="s">
        <v>28</v>
      </c>
      <c r="L13" s="22" t="s">
        <v>21</v>
      </c>
    </row>
    <row r="14" spans="2:15" x14ac:dyDescent="0.3">
      <c r="D14" s="24" t="s">
        <v>19</v>
      </c>
      <c r="E14" s="26">
        <v>0</v>
      </c>
      <c r="F14" s="11">
        <v>2</v>
      </c>
      <c r="G14" s="11">
        <v>1</v>
      </c>
      <c r="H14" s="11">
        <v>1</v>
      </c>
      <c r="I14" s="11">
        <v>1</v>
      </c>
      <c r="J14" s="11">
        <v>0</v>
      </c>
      <c r="K14" s="32">
        <v>0</v>
      </c>
      <c r="L14" s="17">
        <v>20</v>
      </c>
      <c r="N14">
        <f>L14/G14</f>
        <v>20</v>
      </c>
    </row>
    <row r="15" spans="2:15" x14ac:dyDescent="0.3">
      <c r="B15" s="12" t="s">
        <v>24</v>
      </c>
      <c r="D15" s="24" t="s">
        <v>20</v>
      </c>
      <c r="E15" s="26">
        <v>0</v>
      </c>
      <c r="F15" s="11">
        <v>1</v>
      </c>
      <c r="G15" s="10">
        <v>3</v>
      </c>
      <c r="H15" s="11">
        <v>1</v>
      </c>
      <c r="I15" s="11">
        <v>0</v>
      </c>
      <c r="J15" s="11">
        <v>1</v>
      </c>
      <c r="K15" s="32">
        <v>0</v>
      </c>
      <c r="L15" s="17">
        <v>30</v>
      </c>
      <c r="N15">
        <f>L15/G15</f>
        <v>10</v>
      </c>
      <c r="O15" t="s">
        <v>26</v>
      </c>
    </row>
    <row r="16" spans="2:15" x14ac:dyDescent="0.3">
      <c r="B16" s="12"/>
      <c r="D16" s="24" t="s">
        <v>28</v>
      </c>
      <c r="E16" s="26">
        <v>0</v>
      </c>
      <c r="F16" s="11">
        <v>1</v>
      </c>
      <c r="G16" s="11">
        <v>1</v>
      </c>
      <c r="H16" s="11">
        <v>2</v>
      </c>
      <c r="I16" s="11">
        <v>0</v>
      </c>
      <c r="J16" s="11">
        <v>0</v>
      </c>
      <c r="K16" s="32">
        <v>1</v>
      </c>
      <c r="L16" s="17">
        <v>24</v>
      </c>
      <c r="N16">
        <f>L16/G16</f>
        <v>24</v>
      </c>
    </row>
    <row r="17" spans="4:13" x14ac:dyDescent="0.3">
      <c r="D17" s="24"/>
      <c r="E17" s="26" t="s">
        <v>22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32">
        <v>0</v>
      </c>
      <c r="L17" s="17">
        <v>0</v>
      </c>
    </row>
    <row r="18" spans="4:13" ht="15" thickBot="1" x14ac:dyDescent="0.35">
      <c r="D18" s="25"/>
      <c r="E18" s="27" t="s">
        <v>23</v>
      </c>
      <c r="F18" s="18">
        <v>40</v>
      </c>
      <c r="G18" s="15">
        <v>50</v>
      </c>
      <c r="H18" s="18">
        <v>30</v>
      </c>
      <c r="I18" s="18">
        <v>0</v>
      </c>
      <c r="J18" s="18">
        <v>0</v>
      </c>
      <c r="K18" s="33">
        <v>0</v>
      </c>
      <c r="L18" s="28"/>
    </row>
    <row r="19" spans="4:13" ht="15" thickBot="1" x14ac:dyDescent="0.35">
      <c r="F19" s="30"/>
      <c r="G19" s="30"/>
      <c r="H19" s="30"/>
      <c r="I19" s="30"/>
      <c r="J19" s="30"/>
      <c r="K19" s="30"/>
      <c r="L19" s="30"/>
    </row>
    <row r="20" spans="4:13" x14ac:dyDescent="0.3">
      <c r="D20" s="23"/>
      <c r="E20" s="21" t="s">
        <v>18</v>
      </c>
      <c r="F20" s="21" t="s">
        <v>1</v>
      </c>
      <c r="G20" s="21" t="s">
        <v>0</v>
      </c>
      <c r="H20" s="21" t="s">
        <v>2</v>
      </c>
      <c r="I20" s="21" t="s">
        <v>19</v>
      </c>
      <c r="J20" s="21" t="s">
        <v>20</v>
      </c>
      <c r="K20" s="31" t="s">
        <v>28</v>
      </c>
      <c r="L20" s="22" t="s">
        <v>21</v>
      </c>
    </row>
    <row r="21" spans="4:13" x14ac:dyDescent="0.3">
      <c r="D21" s="24" t="s">
        <v>19</v>
      </c>
      <c r="E21" s="26">
        <v>0</v>
      </c>
      <c r="F21" s="11">
        <f>F22*M21+F14</f>
        <v>1.6666666666666667</v>
      </c>
      <c r="G21" s="11">
        <f>G22*M21+G14</f>
        <v>0</v>
      </c>
      <c r="H21" s="11">
        <f>H22*M21+H14</f>
        <v>0.66666666666666674</v>
      </c>
      <c r="I21" s="11">
        <f>I22*M21+I14</f>
        <v>1</v>
      </c>
      <c r="J21" s="11">
        <f>J22*M21+J14</f>
        <v>-0.33333333333333331</v>
      </c>
      <c r="K21" s="32">
        <f>K22*M21+K14</f>
        <v>0</v>
      </c>
      <c r="L21" s="17">
        <f>L22*M21+L14</f>
        <v>10</v>
      </c>
      <c r="M21">
        <f>-G14</f>
        <v>-1</v>
      </c>
    </row>
    <row r="22" spans="4:13" x14ac:dyDescent="0.3">
      <c r="D22" s="24" t="s">
        <v>0</v>
      </c>
      <c r="E22" s="26">
        <v>50</v>
      </c>
      <c r="F22" s="11">
        <f>F15/G15</f>
        <v>0.33333333333333331</v>
      </c>
      <c r="G22" s="11">
        <v>1</v>
      </c>
      <c r="H22" s="11">
        <f>H15/G15</f>
        <v>0.33333333333333331</v>
      </c>
      <c r="I22" s="11">
        <f>I15/G15</f>
        <v>0</v>
      </c>
      <c r="J22" s="11">
        <f>J15/G15</f>
        <v>0.33333333333333331</v>
      </c>
      <c r="K22" s="32">
        <f>K15/G15</f>
        <v>0</v>
      </c>
      <c r="L22" s="17">
        <f>L15/G15</f>
        <v>10</v>
      </c>
    </row>
    <row r="23" spans="4:13" x14ac:dyDescent="0.3">
      <c r="D23" s="24" t="s">
        <v>28</v>
      </c>
      <c r="E23" s="26">
        <v>0</v>
      </c>
      <c r="F23" s="11">
        <f>F22*M23+F16</f>
        <v>0.66666666666666674</v>
      </c>
      <c r="G23" s="11">
        <f>G22*M23+G16</f>
        <v>0</v>
      </c>
      <c r="H23" s="11">
        <f>H22*M23+H16</f>
        <v>1.6666666666666667</v>
      </c>
      <c r="I23" s="11">
        <f>I22*M23+I16</f>
        <v>0</v>
      </c>
      <c r="J23" s="11">
        <f>J22*M23+J16</f>
        <v>-0.33333333333333331</v>
      </c>
      <c r="K23" s="32">
        <f>K22*M23+K16</f>
        <v>1</v>
      </c>
      <c r="L23" s="17">
        <f>L22*M23+L16</f>
        <v>14</v>
      </c>
      <c r="M23">
        <f>-G16</f>
        <v>-1</v>
      </c>
    </row>
    <row r="24" spans="4:13" x14ac:dyDescent="0.3">
      <c r="D24" s="24"/>
      <c r="E24" s="26" t="s">
        <v>22</v>
      </c>
      <c r="F24" s="11">
        <f>E21*F21+E22*F22+E23*F23</f>
        <v>16.666666666666664</v>
      </c>
      <c r="G24" s="11"/>
      <c r="H24" s="11"/>
      <c r="I24" s="11"/>
      <c r="J24" s="11"/>
      <c r="K24" s="32"/>
      <c r="L24" s="17"/>
    </row>
    <row r="25" spans="4:13" ht="15" thickBot="1" x14ac:dyDescent="0.35">
      <c r="D25" s="25"/>
      <c r="E25" s="27" t="s">
        <v>23</v>
      </c>
      <c r="F25" s="18"/>
      <c r="G25" s="18"/>
      <c r="H25" s="18"/>
      <c r="I25" s="18"/>
      <c r="J25" s="18"/>
      <c r="K25" s="33"/>
      <c r="L25" s="28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Questão1</vt:lpstr>
      <vt:lpstr>Questão2</vt:lpstr>
      <vt:lpstr>Questão3</vt:lpstr>
      <vt:lpstr>Questão4</vt:lpstr>
      <vt:lpstr>Simplex-exemplo1</vt:lpstr>
      <vt:lpstr>Simplex-exemplo2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Silva</dc:creator>
  <cp:lastModifiedBy>Clayton Silva</cp:lastModifiedBy>
  <dcterms:created xsi:type="dcterms:W3CDTF">2026-08-24T17:36:16Z</dcterms:created>
  <dcterms:modified xsi:type="dcterms:W3CDTF">2026-08-25T00:36:36Z</dcterms:modified>
</cp:coreProperties>
</file>