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d.docs.live.net/29EF9A7B83F2DDC4/Arquivo_pessoal/Ensino/programacao-linear/"/>
    </mc:Choice>
  </mc:AlternateContent>
  <xr:revisionPtr revIDLastSave="2344" documentId="8_{5ADBBC2C-75A7-4D10-9462-798DA499C7D5}" xr6:coauthVersionLast="47" xr6:coauthVersionMax="47" xr10:uidLastSave="{C7BBC2C6-7EF9-462A-B37A-2972D9FF596E}"/>
  <bookViews>
    <workbookView xWindow="-108" yWindow="-108" windowWidth="23256" windowHeight="12456" xr2:uid="{BC4CC188-7A29-4ECC-830A-209069F6CA88}"/>
  </bookViews>
  <sheets>
    <sheet name="Simplex-exercicio-exemplo" sheetId="18" r:id="rId1"/>
    <sheet name="Simplex-exercicio7" sheetId="17" r:id="rId2"/>
    <sheet name="Simplex-exercicio" sheetId="15" r:id="rId3"/>
    <sheet name="Simplex-exemplo" sheetId="12" r:id="rId4"/>
  </sheets>
  <definedNames>
    <definedName name="solver_adj" localSheetId="3" hidden="1">'Simplex-exemplo'!$B$7:$D$7</definedName>
    <definedName name="solver_adj" localSheetId="2" hidden="1">'Simplex-exercicio'!$B$7:$C$7</definedName>
    <definedName name="solver_adj" localSheetId="1" hidden="1">'Simplex-exercicio7'!$B$7:$C$7</definedName>
    <definedName name="solver_adj" localSheetId="0" hidden="1">'Simplex-exercicio-exemplo'!$B$8:$C$8</definedName>
    <definedName name="solver_cvg" localSheetId="3" hidden="1">0.0001</definedName>
    <definedName name="solver_cvg" localSheetId="2" hidden="1">0.0001</definedName>
    <definedName name="solver_cvg" localSheetId="1" hidden="1">0.0001</definedName>
    <definedName name="solver_cvg" localSheetId="0" hidden="1">0.0001</definedName>
    <definedName name="solver_drv" localSheetId="3" hidden="1">1</definedName>
    <definedName name="solver_drv" localSheetId="2" hidden="1">1</definedName>
    <definedName name="solver_drv" localSheetId="1" hidden="1">1</definedName>
    <definedName name="solver_drv" localSheetId="0" hidden="1">1</definedName>
    <definedName name="solver_eng" localSheetId="3" hidden="1">2</definedName>
    <definedName name="solver_eng" localSheetId="2" hidden="1">2</definedName>
    <definedName name="solver_eng" localSheetId="1" hidden="1">2</definedName>
    <definedName name="solver_eng" localSheetId="0" hidden="1">2</definedName>
    <definedName name="solver_est" localSheetId="3" hidden="1">1</definedName>
    <definedName name="solver_est" localSheetId="2" hidden="1">1</definedName>
    <definedName name="solver_est" localSheetId="1" hidden="1">1</definedName>
    <definedName name="solver_est" localSheetId="0" hidden="1">1</definedName>
    <definedName name="solver_itr" localSheetId="3" hidden="1">2147483647</definedName>
    <definedName name="solver_itr" localSheetId="2" hidden="1">2147483647</definedName>
    <definedName name="solver_itr" localSheetId="1" hidden="1">2147483647</definedName>
    <definedName name="solver_itr" localSheetId="0" hidden="1">2147483647</definedName>
    <definedName name="solver_lhs0" localSheetId="3" hidden="1">'Simplex-exemplo'!$E$5</definedName>
    <definedName name="solver_lhs0" localSheetId="2" hidden="1">'Simplex-exercicio'!$D$5</definedName>
    <definedName name="solver_lhs0" localSheetId="1" hidden="1">'Simplex-exercicio7'!$D$5</definedName>
    <definedName name="solver_lhs0" localSheetId="0" hidden="1">'Simplex-exercicio-exemplo'!$D$5</definedName>
    <definedName name="solver_lhs1" localSheetId="3" hidden="1">'Simplex-exemplo'!$E$4</definedName>
    <definedName name="solver_lhs1" localSheetId="2" hidden="1">'Simplex-exercicio'!$D$4</definedName>
    <definedName name="solver_lhs1" localSheetId="1" hidden="1">'Simplex-exercicio7'!$D$4</definedName>
    <definedName name="solver_lhs1" localSheetId="0" hidden="1">'Simplex-exercicio-exemplo'!$D$4</definedName>
    <definedName name="solver_lhs2" localSheetId="3" hidden="1">'Simplex-exemplo'!$E$5</definedName>
    <definedName name="solver_lhs2" localSheetId="2" hidden="1">'Simplex-exercicio'!$D$5</definedName>
    <definedName name="solver_lhs2" localSheetId="1" hidden="1">'Simplex-exercicio7'!$E$4</definedName>
    <definedName name="solver_lhs2" localSheetId="0" hidden="1">'Simplex-exercicio-exemplo'!$D$5</definedName>
    <definedName name="solver_lhs3" localSheetId="3" hidden="1">'Simplex-exemplo'!#REF!</definedName>
    <definedName name="solver_lhs3" localSheetId="2" hidden="1">'Simplex-exercicio'!#REF!</definedName>
    <definedName name="solver_lhs3" localSheetId="1" hidden="1">'Simplex-exercicio7'!#REF!</definedName>
    <definedName name="solver_lhs3" localSheetId="0" hidden="1">'Simplex-exercicio-exemplo'!$D$6</definedName>
    <definedName name="solver_mip" localSheetId="3" hidden="1">2147483647</definedName>
    <definedName name="solver_mip" localSheetId="2" hidden="1">2147483647</definedName>
    <definedName name="solver_mip" localSheetId="1" hidden="1">2147483647</definedName>
    <definedName name="solver_mip" localSheetId="0" hidden="1">2147483647</definedName>
    <definedName name="solver_mni" localSheetId="3" hidden="1">30</definedName>
    <definedName name="solver_mni" localSheetId="2" hidden="1">30</definedName>
    <definedName name="solver_mni" localSheetId="1" hidden="1">30</definedName>
    <definedName name="solver_mni" localSheetId="0" hidden="1">30</definedName>
    <definedName name="solver_mrt" localSheetId="3" hidden="1">0.075</definedName>
    <definedName name="solver_mrt" localSheetId="2" hidden="1">0.075</definedName>
    <definedName name="solver_mrt" localSheetId="1" hidden="1">0.075</definedName>
    <definedName name="solver_mrt" localSheetId="0" hidden="1">0.075</definedName>
    <definedName name="solver_msl" localSheetId="3" hidden="1">2</definedName>
    <definedName name="solver_msl" localSheetId="2" hidden="1">2</definedName>
    <definedName name="solver_msl" localSheetId="1" hidden="1">2</definedName>
    <definedName name="solver_msl" localSheetId="0" hidden="1">2</definedName>
    <definedName name="solver_neg" localSheetId="3" hidden="1">1</definedName>
    <definedName name="solver_neg" localSheetId="2" hidden="1">1</definedName>
    <definedName name="solver_neg" localSheetId="1" hidden="1">1</definedName>
    <definedName name="solver_neg" localSheetId="0" hidden="1">1</definedName>
    <definedName name="solver_nod" localSheetId="3" hidden="1">2147483647</definedName>
    <definedName name="solver_nod" localSheetId="2" hidden="1">2147483647</definedName>
    <definedName name="solver_nod" localSheetId="1" hidden="1">2147483647</definedName>
    <definedName name="solver_nod" localSheetId="0" hidden="1">2147483647</definedName>
    <definedName name="solver_num" localSheetId="3" hidden="1">2</definedName>
    <definedName name="solver_num" localSheetId="2" hidden="1">2</definedName>
    <definedName name="solver_num" localSheetId="1" hidden="1">2</definedName>
    <definedName name="solver_num" localSheetId="0" hidden="1">3</definedName>
    <definedName name="solver_nwt" localSheetId="3" hidden="1">1</definedName>
    <definedName name="solver_nwt" localSheetId="2" hidden="1">1</definedName>
    <definedName name="solver_nwt" localSheetId="1" hidden="1">1</definedName>
    <definedName name="solver_nwt" localSheetId="0" hidden="1">1</definedName>
    <definedName name="solver_opt" localSheetId="3" hidden="1">'Simplex-exemplo'!$G$10</definedName>
    <definedName name="solver_opt" localSheetId="2" hidden="1">'Simplex-exercicio'!$F$10</definedName>
    <definedName name="solver_opt" localSheetId="1" hidden="1">'Simplex-exercicio7'!$F$10</definedName>
    <definedName name="solver_opt" localSheetId="0" hidden="1">'Simplex-exercicio-exemplo'!$F$11</definedName>
    <definedName name="solver_pre" localSheetId="3" hidden="1">0.000001</definedName>
    <definedName name="solver_pre" localSheetId="2" hidden="1">0.000001</definedName>
    <definedName name="solver_pre" localSheetId="1" hidden="1">0.000001</definedName>
    <definedName name="solver_pre" localSheetId="0" hidden="1">0.000001</definedName>
    <definedName name="solver_rbv" localSheetId="3" hidden="1">1</definedName>
    <definedName name="solver_rbv" localSheetId="2" hidden="1">1</definedName>
    <definedName name="solver_rbv" localSheetId="1" hidden="1">1</definedName>
    <definedName name="solver_rbv" localSheetId="0" hidden="1">1</definedName>
    <definedName name="solver_rel0" localSheetId="3" hidden="1">1</definedName>
    <definedName name="solver_rel0" localSheetId="2" hidden="1">1</definedName>
    <definedName name="solver_rel0" localSheetId="1" hidden="1">1</definedName>
    <definedName name="solver_rel0" localSheetId="0" hidden="1">1</definedName>
    <definedName name="solver_rel1" localSheetId="3" hidden="1">3</definedName>
    <definedName name="solver_rel1" localSheetId="2" hidden="1">3</definedName>
    <definedName name="solver_rel1" localSheetId="1" hidden="1">3</definedName>
    <definedName name="solver_rel1" localSheetId="0" hidden="1">3</definedName>
    <definedName name="solver_rel2" localSheetId="3" hidden="1">3</definedName>
    <definedName name="solver_rel2" localSheetId="2" hidden="1">3</definedName>
    <definedName name="solver_rel2" localSheetId="1" hidden="1">3</definedName>
    <definedName name="solver_rel2" localSheetId="0" hidden="1">3</definedName>
    <definedName name="solver_rel3" localSheetId="3" hidden="1">1</definedName>
    <definedName name="solver_rel3" localSheetId="2" hidden="1">1</definedName>
    <definedName name="solver_rel3" localSheetId="1" hidden="1">1</definedName>
    <definedName name="solver_rel3" localSheetId="0" hidden="1">3</definedName>
    <definedName name="solver_rhs0" localSheetId="3" hidden="1">'Simplex-exemplo'!$F$5</definedName>
    <definedName name="solver_rhs0" localSheetId="2" hidden="1">'Simplex-exercicio'!$E$5</definedName>
    <definedName name="solver_rhs0" localSheetId="1" hidden="1">'Simplex-exercicio7'!$E$5</definedName>
    <definedName name="solver_rhs0" localSheetId="0" hidden="1">'Simplex-exercicio-exemplo'!$E$5</definedName>
    <definedName name="solver_rhs1" localSheetId="3" hidden="1">'Simplex-exemplo'!$F$4</definedName>
    <definedName name="solver_rhs1" localSheetId="2" hidden="1">'Simplex-exercicio'!$E$4</definedName>
    <definedName name="solver_rhs1" localSheetId="1" hidden="1">'Simplex-exercicio7'!$E$4</definedName>
    <definedName name="solver_rhs1" localSheetId="0" hidden="1">'Simplex-exercicio-exemplo'!$E$4</definedName>
    <definedName name="solver_rhs2" localSheetId="3" hidden="1">'Simplex-exemplo'!$F$5</definedName>
    <definedName name="solver_rhs2" localSheetId="2" hidden="1">'Simplex-exercicio'!$E$5</definedName>
    <definedName name="solver_rhs2" localSheetId="1" hidden="1">'Simplex-exercicio7'!$E$4</definedName>
    <definedName name="solver_rhs2" localSheetId="0" hidden="1">'Simplex-exercicio-exemplo'!$E$5</definedName>
    <definedName name="solver_rhs3" localSheetId="3" hidden="1">'Simplex-exemplo'!#REF!</definedName>
    <definedName name="solver_rhs3" localSheetId="2" hidden="1">'Simplex-exercicio'!#REF!</definedName>
    <definedName name="solver_rhs3" localSheetId="1" hidden="1">'Simplex-exercicio7'!#REF!</definedName>
    <definedName name="solver_rhs3" localSheetId="0" hidden="1">'Simplex-exercicio-exemplo'!$E$6</definedName>
    <definedName name="solver_rlx" localSheetId="3" hidden="1">2</definedName>
    <definedName name="solver_rlx" localSheetId="2" hidden="1">2</definedName>
    <definedName name="solver_rlx" localSheetId="1" hidden="1">2</definedName>
    <definedName name="solver_rlx" localSheetId="0" hidden="1">2</definedName>
    <definedName name="solver_rsd" localSheetId="3" hidden="1">0</definedName>
    <definedName name="solver_rsd" localSheetId="2" hidden="1">0</definedName>
    <definedName name="solver_rsd" localSheetId="1" hidden="1">0</definedName>
    <definedName name="solver_rsd" localSheetId="0" hidden="1">0</definedName>
    <definedName name="solver_scl" localSheetId="3" hidden="1">1</definedName>
    <definedName name="solver_scl" localSheetId="2" hidden="1">1</definedName>
    <definedName name="solver_scl" localSheetId="1" hidden="1">1</definedName>
    <definedName name="solver_scl" localSheetId="0" hidden="1">1</definedName>
    <definedName name="solver_sho" localSheetId="3" hidden="1">2</definedName>
    <definedName name="solver_sho" localSheetId="2" hidden="1">2</definedName>
    <definedName name="solver_sho" localSheetId="1" hidden="1">2</definedName>
    <definedName name="solver_sho" localSheetId="0" hidden="1">2</definedName>
    <definedName name="solver_ssz" localSheetId="3" hidden="1">100</definedName>
    <definedName name="solver_ssz" localSheetId="2" hidden="1">100</definedName>
    <definedName name="solver_ssz" localSheetId="1" hidden="1">100</definedName>
    <definedName name="solver_ssz" localSheetId="0" hidden="1">100</definedName>
    <definedName name="solver_tim" localSheetId="3" hidden="1">2147483647</definedName>
    <definedName name="solver_tim" localSheetId="2" hidden="1">2147483647</definedName>
    <definedName name="solver_tim" localSheetId="1" hidden="1">2147483647</definedName>
    <definedName name="solver_tim" localSheetId="0" hidden="1">2147483647</definedName>
    <definedName name="solver_tol" localSheetId="3" hidden="1">0.01</definedName>
    <definedName name="solver_tol" localSheetId="2" hidden="1">0.01</definedName>
    <definedName name="solver_tol" localSheetId="1" hidden="1">0.01</definedName>
    <definedName name="solver_tol" localSheetId="0" hidden="1">0.01</definedName>
    <definedName name="solver_typ" localSheetId="3" hidden="1">2</definedName>
    <definedName name="solver_typ" localSheetId="2" hidden="1">2</definedName>
    <definedName name="solver_typ" localSheetId="1" hidden="1">2</definedName>
    <definedName name="solver_typ" localSheetId="0" hidden="1">2</definedName>
    <definedName name="solver_val" localSheetId="3" hidden="1">0</definedName>
    <definedName name="solver_val" localSheetId="2" hidden="1">0</definedName>
    <definedName name="solver_val" localSheetId="1" hidden="1">0</definedName>
    <definedName name="solver_val" localSheetId="0" hidden="1">0</definedName>
    <definedName name="solver_ver" localSheetId="3" hidden="1">3</definedName>
    <definedName name="solver_ver" localSheetId="2" hidden="1">3</definedName>
    <definedName name="solver_ver" localSheetId="1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6" i="18" l="1"/>
  <c r="I96" i="18"/>
  <c r="I97" i="18" s="1"/>
  <c r="H96" i="18"/>
  <c r="H97" i="18" s="1"/>
  <c r="G96" i="18"/>
  <c r="G97" i="18" s="1"/>
  <c r="F96" i="18"/>
  <c r="F97" i="18" s="1"/>
  <c r="E96" i="18"/>
  <c r="E97" i="18" s="1"/>
  <c r="F40" i="18"/>
  <c r="F58" i="18" s="1"/>
  <c r="F56" i="18" s="1"/>
  <c r="I40" i="18"/>
  <c r="I39" i="18"/>
  <c r="J39" i="18"/>
  <c r="M39" i="18"/>
  <c r="F38" i="18"/>
  <c r="F39" i="18" s="1"/>
  <c r="G38" i="18"/>
  <c r="H38" i="18"/>
  <c r="H39" i="18" s="1"/>
  <c r="I38" i="18"/>
  <c r="J38" i="18"/>
  <c r="J40" i="18" s="1"/>
  <c r="J58" i="18" s="1"/>
  <c r="K38" i="18"/>
  <c r="K39" i="18" s="1"/>
  <c r="L38" i="18"/>
  <c r="M38" i="18"/>
  <c r="E38" i="18"/>
  <c r="E40" i="18" s="1"/>
  <c r="E58" i="18" s="1"/>
  <c r="E56" i="18" s="1"/>
  <c r="O21" i="18"/>
  <c r="O22" i="18"/>
  <c r="O23" i="18"/>
  <c r="D6" i="18"/>
  <c r="F11" i="18"/>
  <c r="D5" i="18"/>
  <c r="D4" i="18"/>
  <c r="F68" i="17"/>
  <c r="I79" i="17"/>
  <c r="H79" i="17"/>
  <c r="H80" i="17" s="1"/>
  <c r="G79" i="17"/>
  <c r="G80" i="17" s="1"/>
  <c r="F79" i="17"/>
  <c r="F80" i="17" s="1"/>
  <c r="E79" i="17"/>
  <c r="E80" i="17" s="1"/>
  <c r="F78" i="17"/>
  <c r="G78" i="17"/>
  <c r="H78" i="17"/>
  <c r="I78" i="17"/>
  <c r="E78" i="17"/>
  <c r="F77" i="17"/>
  <c r="G77" i="17"/>
  <c r="H77" i="17"/>
  <c r="I77" i="17"/>
  <c r="E77" i="17"/>
  <c r="K65" i="17"/>
  <c r="H68" i="17"/>
  <c r="G68" i="17"/>
  <c r="E68" i="17"/>
  <c r="H67" i="17"/>
  <c r="G67" i="17"/>
  <c r="E36" i="17"/>
  <c r="E37" i="17" s="1"/>
  <c r="E34" i="17"/>
  <c r="E48" i="17" s="1"/>
  <c r="E49" i="17" s="1"/>
  <c r="F35" i="17"/>
  <c r="F34" i="17" s="1"/>
  <c r="F36" i="17" s="1"/>
  <c r="F37" i="17" s="1"/>
  <c r="G35" i="17"/>
  <c r="G34" i="17" s="1"/>
  <c r="H35" i="17"/>
  <c r="H34" i="17" s="1"/>
  <c r="I35" i="17"/>
  <c r="I34" i="17" s="1"/>
  <c r="J35" i="17"/>
  <c r="J34" i="17" s="1"/>
  <c r="J36" i="17" s="1"/>
  <c r="J37" i="17" s="1"/>
  <c r="K35" i="17"/>
  <c r="O35" i="17" s="1"/>
  <c r="E35" i="17"/>
  <c r="M21" i="17"/>
  <c r="M20" i="17"/>
  <c r="F10" i="17"/>
  <c r="D5" i="17"/>
  <c r="D4" i="17"/>
  <c r="F90" i="15"/>
  <c r="F92" i="15" s="1"/>
  <c r="F93" i="15" s="1"/>
  <c r="G90" i="15"/>
  <c r="G92" i="15" s="1"/>
  <c r="G93" i="15" s="1"/>
  <c r="H90" i="15"/>
  <c r="I90" i="15"/>
  <c r="E90" i="15"/>
  <c r="F91" i="15"/>
  <c r="G91" i="15"/>
  <c r="H91" i="15"/>
  <c r="I91" i="15"/>
  <c r="I92" i="15" s="1"/>
  <c r="E91" i="15"/>
  <c r="K79" i="15"/>
  <c r="I80" i="15"/>
  <c r="H80" i="15"/>
  <c r="G80" i="15"/>
  <c r="F80" i="15"/>
  <c r="E80" i="15"/>
  <c r="H81" i="15"/>
  <c r="G81" i="15"/>
  <c r="F81" i="15"/>
  <c r="E81" i="15"/>
  <c r="F35" i="15"/>
  <c r="G35" i="15"/>
  <c r="G34" i="15" s="1"/>
  <c r="G36" i="15" s="1"/>
  <c r="G37" i="15" s="1"/>
  <c r="H35" i="15"/>
  <c r="I35" i="15"/>
  <c r="I34" i="15" s="1"/>
  <c r="I36" i="15" s="1"/>
  <c r="J35" i="15"/>
  <c r="J34" i="15" s="1"/>
  <c r="J36" i="15" s="1"/>
  <c r="J37" i="15" s="1"/>
  <c r="K35" i="15"/>
  <c r="E35" i="15"/>
  <c r="E34" i="15" s="1"/>
  <c r="E36" i="15" s="1"/>
  <c r="E37" i="15" s="1"/>
  <c r="M20" i="15"/>
  <c r="M21" i="15"/>
  <c r="K23" i="15"/>
  <c r="F10" i="15"/>
  <c r="D5" i="15"/>
  <c r="D4" i="15"/>
  <c r="I83" i="12"/>
  <c r="H83" i="12"/>
  <c r="G83" i="12"/>
  <c r="F83" i="12"/>
  <c r="E83" i="12"/>
  <c r="J82" i="12"/>
  <c r="I82" i="12"/>
  <c r="H82" i="12"/>
  <c r="G82" i="12"/>
  <c r="F82" i="12"/>
  <c r="E82" i="12"/>
  <c r="F81" i="12"/>
  <c r="G81" i="12"/>
  <c r="H81" i="12"/>
  <c r="I81" i="12"/>
  <c r="J81" i="12"/>
  <c r="E81" i="12"/>
  <c r="F80" i="12"/>
  <c r="G80" i="12"/>
  <c r="H80" i="12"/>
  <c r="I80" i="12"/>
  <c r="J80" i="12"/>
  <c r="E80" i="12"/>
  <c r="L67" i="12"/>
  <c r="I70" i="12"/>
  <c r="H70" i="12"/>
  <c r="G70" i="12"/>
  <c r="F70" i="12"/>
  <c r="E70" i="12"/>
  <c r="J69" i="12"/>
  <c r="I69" i="12"/>
  <c r="H69" i="12"/>
  <c r="G69" i="12"/>
  <c r="F69" i="12"/>
  <c r="E69" i="12"/>
  <c r="F35" i="12"/>
  <c r="F36" i="12" s="1"/>
  <c r="G35" i="12"/>
  <c r="H35" i="12"/>
  <c r="I35" i="12"/>
  <c r="J35" i="12"/>
  <c r="J36" i="12" s="1"/>
  <c r="K35" i="12"/>
  <c r="K36" i="12" s="1"/>
  <c r="L35" i="12"/>
  <c r="L36" i="12" s="1"/>
  <c r="E35" i="12"/>
  <c r="N21" i="12"/>
  <c r="N20" i="12"/>
  <c r="I41" i="18" l="1"/>
  <c r="I42" i="18" s="1"/>
  <c r="J41" i="18"/>
  <c r="J42" i="18" s="1"/>
  <c r="I58" i="18"/>
  <c r="I57" i="18" s="1"/>
  <c r="I75" i="18" s="1"/>
  <c r="E41" i="18"/>
  <c r="E42" i="18" s="1"/>
  <c r="F41" i="18"/>
  <c r="F42" i="18" s="1"/>
  <c r="K40" i="18"/>
  <c r="K58" i="18" s="1"/>
  <c r="K57" i="18" s="1"/>
  <c r="K75" i="18" s="1"/>
  <c r="Q38" i="18"/>
  <c r="E39" i="18"/>
  <c r="Q39" i="18" s="1"/>
  <c r="J56" i="18"/>
  <c r="J57" i="18"/>
  <c r="J75" i="18" s="1"/>
  <c r="I56" i="18"/>
  <c r="G39" i="18"/>
  <c r="H40" i="18"/>
  <c r="H58" i="18" s="1"/>
  <c r="E57" i="18"/>
  <c r="E75" i="18" s="1"/>
  <c r="F57" i="18"/>
  <c r="F75" i="18" s="1"/>
  <c r="G40" i="18"/>
  <c r="G58" i="18" s="1"/>
  <c r="L39" i="18"/>
  <c r="M40" i="18"/>
  <c r="L40" i="18"/>
  <c r="L58" i="18" s="1"/>
  <c r="I48" i="17"/>
  <c r="I49" i="17" s="1"/>
  <c r="I50" i="17" s="1"/>
  <c r="I51" i="17" s="1"/>
  <c r="I36" i="17"/>
  <c r="I37" i="17" s="1"/>
  <c r="H36" i="17"/>
  <c r="H37" i="17" s="1"/>
  <c r="H48" i="17"/>
  <c r="G36" i="17"/>
  <c r="G37" i="17" s="1"/>
  <c r="G48" i="17"/>
  <c r="J48" i="17"/>
  <c r="K34" i="17"/>
  <c r="F48" i="17"/>
  <c r="E50" i="17"/>
  <c r="E51" i="17" s="1"/>
  <c r="H92" i="15"/>
  <c r="H93" i="15" s="1"/>
  <c r="E92" i="15"/>
  <c r="E93" i="15" s="1"/>
  <c r="E49" i="15"/>
  <c r="E48" i="15" s="1"/>
  <c r="H49" i="15"/>
  <c r="G49" i="15"/>
  <c r="G48" i="15" s="1"/>
  <c r="O35" i="15"/>
  <c r="F49" i="15"/>
  <c r="H34" i="15"/>
  <c r="H36" i="15" s="1"/>
  <c r="H37" i="15" s="1"/>
  <c r="J49" i="15"/>
  <c r="J48" i="15" s="1"/>
  <c r="F34" i="15"/>
  <c r="F36" i="15" s="1"/>
  <c r="F37" i="15" s="1"/>
  <c r="I49" i="15"/>
  <c r="I48" i="15" s="1"/>
  <c r="K49" i="15"/>
  <c r="K34" i="15"/>
  <c r="O34" i="15" s="1"/>
  <c r="L51" i="12"/>
  <c r="P36" i="12"/>
  <c r="K51" i="12"/>
  <c r="K50" i="12" s="1"/>
  <c r="K52" i="12" s="1"/>
  <c r="K53" i="12" s="1"/>
  <c r="K37" i="12"/>
  <c r="K38" i="12" s="1"/>
  <c r="J51" i="12"/>
  <c r="J50" i="12" s="1"/>
  <c r="J52" i="12" s="1"/>
  <c r="J53" i="12" s="1"/>
  <c r="J37" i="12"/>
  <c r="J38" i="12" s="1"/>
  <c r="F37" i="12"/>
  <c r="F38" i="12" s="1"/>
  <c r="F51" i="12"/>
  <c r="L37" i="12"/>
  <c r="L38" i="12" s="1"/>
  <c r="P35" i="12"/>
  <c r="E36" i="12"/>
  <c r="E51" i="12" s="1"/>
  <c r="H36" i="12"/>
  <c r="H51" i="12" s="1"/>
  <c r="G36" i="12"/>
  <c r="G51" i="12" s="1"/>
  <c r="I36" i="12"/>
  <c r="I51" i="12" s="1"/>
  <c r="E5" i="12"/>
  <c r="E4" i="12"/>
  <c r="G10" i="12"/>
  <c r="K41" i="18" l="1"/>
  <c r="K42" i="18" s="1"/>
  <c r="F59" i="18"/>
  <c r="F60" i="18" s="1"/>
  <c r="G41" i="18"/>
  <c r="G42" i="18" s="1"/>
  <c r="H41" i="18"/>
  <c r="H42" i="18" s="1"/>
  <c r="E59" i="18"/>
  <c r="E60" i="18" s="1"/>
  <c r="K56" i="18"/>
  <c r="K59" i="18" s="1"/>
  <c r="K60" i="18" s="1"/>
  <c r="L41" i="18"/>
  <c r="L42" i="18" s="1"/>
  <c r="Q40" i="18"/>
  <c r="M58" i="18"/>
  <c r="G56" i="18"/>
  <c r="G57" i="18"/>
  <c r="G75" i="18" s="1"/>
  <c r="I59" i="18"/>
  <c r="I60" i="18" s="1"/>
  <c r="F76" i="18"/>
  <c r="F74" i="18"/>
  <c r="F77" i="18" s="1"/>
  <c r="K74" i="18"/>
  <c r="K76" i="18"/>
  <c r="I76" i="18"/>
  <c r="I74" i="18"/>
  <c r="I77" i="18" s="1"/>
  <c r="E76" i="18"/>
  <c r="E74" i="18"/>
  <c r="J74" i="18"/>
  <c r="J76" i="18"/>
  <c r="L56" i="18"/>
  <c r="L59" i="18" s="1"/>
  <c r="L60" i="18" s="1"/>
  <c r="L57" i="18"/>
  <c r="L75" i="18" s="1"/>
  <c r="H57" i="18"/>
  <c r="H75" i="18" s="1"/>
  <c r="H56" i="18"/>
  <c r="H59" i="18" s="1"/>
  <c r="H60" i="18" s="1"/>
  <c r="J59" i="18"/>
  <c r="J60" i="18" s="1"/>
  <c r="M41" i="18"/>
  <c r="K36" i="17"/>
  <c r="O34" i="17"/>
  <c r="K48" i="17"/>
  <c r="J49" i="17"/>
  <c r="J50" i="17" s="1"/>
  <c r="J51" i="17" s="1"/>
  <c r="G49" i="17"/>
  <c r="G50" i="17" s="1"/>
  <c r="G51" i="17" s="1"/>
  <c r="H49" i="17"/>
  <c r="H50" i="17" s="1"/>
  <c r="H51" i="17" s="1"/>
  <c r="F49" i="17"/>
  <c r="F50" i="17" s="1"/>
  <c r="F51" i="17" s="1"/>
  <c r="J63" i="15"/>
  <c r="J62" i="15"/>
  <c r="E63" i="15"/>
  <c r="E62" i="15"/>
  <c r="E64" i="15" s="1"/>
  <c r="E65" i="15" s="1"/>
  <c r="P49" i="15"/>
  <c r="G62" i="15"/>
  <c r="G63" i="15"/>
  <c r="I62" i="15"/>
  <c r="I64" i="15" s="1"/>
  <c r="I65" i="15" s="1"/>
  <c r="I63" i="15"/>
  <c r="G50" i="15"/>
  <c r="G51" i="15" s="1"/>
  <c r="I50" i="15"/>
  <c r="I51" i="15" s="1"/>
  <c r="E50" i="15"/>
  <c r="E51" i="15" s="1"/>
  <c r="J50" i="15"/>
  <c r="J51" i="15" s="1"/>
  <c r="F48" i="15"/>
  <c r="H48" i="15"/>
  <c r="K36" i="15"/>
  <c r="K37" i="15" s="1"/>
  <c r="K48" i="15"/>
  <c r="I37" i="15"/>
  <c r="F50" i="12"/>
  <c r="F68" i="12"/>
  <c r="I50" i="12"/>
  <c r="I68" i="12"/>
  <c r="G50" i="12"/>
  <c r="G68" i="12"/>
  <c r="H50" i="12"/>
  <c r="H68" i="12"/>
  <c r="E50" i="12"/>
  <c r="E68" i="12"/>
  <c r="L50" i="12"/>
  <c r="J68" i="12"/>
  <c r="I37" i="12"/>
  <c r="I38" i="12" s="1"/>
  <c r="G37" i="12"/>
  <c r="G38" i="12" s="1"/>
  <c r="H37" i="12"/>
  <c r="H38" i="12" s="1"/>
  <c r="E37" i="12"/>
  <c r="E38" i="12" s="1"/>
  <c r="L76" i="18" l="1"/>
  <c r="L74" i="18"/>
  <c r="L77" i="18" s="1"/>
  <c r="J77" i="18"/>
  <c r="K77" i="18"/>
  <c r="E77" i="18"/>
  <c r="M56" i="18"/>
  <c r="M57" i="18"/>
  <c r="G76" i="18"/>
  <c r="G74" i="18"/>
  <c r="H76" i="18"/>
  <c r="H74" i="18"/>
  <c r="H77" i="18" s="1"/>
  <c r="G59" i="18"/>
  <c r="G60" i="18" s="1"/>
  <c r="K50" i="17"/>
  <c r="K49" i="17"/>
  <c r="G64" i="15"/>
  <c r="G65" i="15" s="1"/>
  <c r="J64" i="15"/>
  <c r="J65" i="15" s="1"/>
  <c r="H62" i="15"/>
  <c r="H63" i="15"/>
  <c r="F62" i="15"/>
  <c r="F63" i="15"/>
  <c r="K62" i="15"/>
  <c r="K63" i="15"/>
  <c r="P48" i="15"/>
  <c r="H50" i="15"/>
  <c r="H51" i="15" s="1"/>
  <c r="F50" i="15"/>
  <c r="F51" i="15" s="1"/>
  <c r="K50" i="15"/>
  <c r="K51" i="15" s="1"/>
  <c r="H52" i="12"/>
  <c r="H53" i="12" s="1"/>
  <c r="H67" i="12"/>
  <c r="G52" i="12"/>
  <c r="G53" i="12" s="1"/>
  <c r="G67" i="12"/>
  <c r="L52" i="12"/>
  <c r="L53" i="12" s="1"/>
  <c r="J67" i="12"/>
  <c r="I52" i="12"/>
  <c r="I53" i="12" s="1"/>
  <c r="I67" i="12"/>
  <c r="E52" i="12"/>
  <c r="E53" i="12" s="1"/>
  <c r="E67" i="12"/>
  <c r="F52" i="12"/>
  <c r="F53" i="12" s="1"/>
  <c r="F67" i="12"/>
  <c r="G77" i="18" l="1"/>
  <c r="M75" i="18"/>
  <c r="Q57" i="18"/>
  <c r="Q56" i="18"/>
  <c r="M59" i="18"/>
  <c r="K64" i="15"/>
  <c r="K65" i="15" s="1"/>
  <c r="F64" i="15"/>
  <c r="F65" i="15" s="1"/>
  <c r="H64" i="15"/>
  <c r="H65" i="15" s="1"/>
  <c r="M76" i="18" l="1"/>
  <c r="M74" i="18"/>
  <c r="M77" i="18" s="1"/>
</calcChain>
</file>

<file path=xl/sharedStrings.xml><?xml version="1.0" encoding="utf-8"?>
<sst xmlns="http://schemas.openxmlformats.org/spreadsheetml/2006/main" count="550" uniqueCount="63">
  <si>
    <t>x</t>
  </si>
  <si>
    <t>y</t>
  </si>
  <si>
    <t>bi</t>
  </si>
  <si>
    <t>Restrições</t>
  </si>
  <si>
    <t>Função objetivo</t>
  </si>
  <si>
    <t>C1</t>
  </si>
  <si>
    <t>C2</t>
  </si>
  <si>
    <t>Coeficientes</t>
  </si>
  <si>
    <t>Z</t>
  </si>
  <si>
    <t>n=</t>
  </si>
  <si>
    <t>m=</t>
  </si>
  <si>
    <t>FASE 1: CRIAÇÃO DAS VARIÁVEIS DE EXCESSO E ARTIFICIAIS; DEFINIÇÃO DA SOLUÇÃO BASE PARA A FUNÇÃO OBJETIVO ARTIFICAL</t>
  </si>
  <si>
    <t>Quadro 0</t>
  </si>
  <si>
    <t>Base</t>
  </si>
  <si>
    <t>e1</t>
  </si>
  <si>
    <t>e2</t>
  </si>
  <si>
    <t>e3</t>
  </si>
  <si>
    <t>a1</t>
  </si>
  <si>
    <t>a2</t>
  </si>
  <si>
    <t>a3</t>
  </si>
  <si>
    <t>razão</t>
  </si>
  <si>
    <t>C3</t>
  </si>
  <si>
    <t>Zi</t>
  </si>
  <si>
    <t>Cai-Zai</t>
  </si>
  <si>
    <t>Quadro 1</t>
  </si>
  <si>
    <t>L1'=L1/3</t>
  </si>
  <si>
    <t>L2'=-L1'+L2</t>
  </si>
  <si>
    <t>L3'+-L1'+L3</t>
  </si>
  <si>
    <t>Quadro 2</t>
  </si>
  <si>
    <t>L1'+-L3'*$e38+e38</t>
  </si>
  <si>
    <t>L2'=-L3'*$e40+e40</t>
  </si>
  <si>
    <t>L3'=L3/$e40</t>
  </si>
  <si>
    <t>desconsiderar</t>
  </si>
  <si>
    <t>Quadro 3</t>
  </si>
  <si>
    <t>L1'=L2'/2+L1</t>
  </si>
  <si>
    <t>L2'=L2/2,5</t>
  </si>
  <si>
    <t>L3'=L2'*1,5+L3</t>
  </si>
  <si>
    <t>FASE 2: OBTENÇÃO DA SOLUÇÃO A PARTIR DA SOLUÇÃO BÁSICA ANTERIOR</t>
  </si>
  <si>
    <t>Zi-Ci</t>
  </si>
  <si>
    <t>x1</t>
  </si>
  <si>
    <t>x2</t>
  </si>
  <si>
    <t>L1'=-2L2'+L1</t>
  </si>
  <si>
    <t>L2'=L2/6</t>
  </si>
  <si>
    <t>L1'=L1/$e34</t>
  </si>
  <si>
    <t>L2'=-$e35*L1'+L2</t>
  </si>
  <si>
    <t>L1'=L1/0,2</t>
  </si>
  <si>
    <t>L2'=L2+0,2L1'</t>
  </si>
  <si>
    <t>L1'=-L2'+L1</t>
  </si>
  <si>
    <t>L2'=L2/3</t>
  </si>
  <si>
    <t>L1'=-L2'*$e34+L1</t>
  </si>
  <si>
    <t>L2'=L2/$e35</t>
  </si>
  <si>
    <t>L1'=L1*2</t>
  </si>
  <si>
    <t>L2'=L1+L2</t>
  </si>
  <si>
    <t>não participa</t>
  </si>
  <si>
    <t>L1'=L1+L2'</t>
  </si>
  <si>
    <t>L2'=L2</t>
  </si>
  <si>
    <t>x3</t>
  </si>
  <si>
    <t>L1'=L1/8</t>
  </si>
  <si>
    <t>L2'=-L1'*4+L2</t>
  </si>
  <si>
    <t>L1'=-L2'*0,5+L2</t>
  </si>
  <si>
    <t>L2'=L2/4</t>
  </si>
  <si>
    <t>L1'=L1/0,75</t>
  </si>
  <si>
    <t>L2'=L1'/2+L2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</si>
</sst>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3" fillId="0" borderId="0" xfId="0" applyFont="1"/>
    <xf numFmtId="0" fontId="2" fillId="0" borderId="0" xfId="0" applyFont="1" applyAlignment="1">
      <alignment horizontal="right"/>
    </xf>
    <xf numFmtId="0" fontId="0" fillId="2" borderId="1" xfId="0" applyFill="1" applyBorder="1"/>
    <xf numFmtId="0" fontId="2" fillId="0" borderId="1" xfId="0" applyFont="1" applyBorder="1" applyAlignment="1">
      <alignment horizontal="right"/>
    </xf>
    <xf numFmtId="0" fontId="0" fillId="0" borderId="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E972-55CF-458E-98E4-461FA823DE8F}">
  <dimension ref="A3:Q103"/>
  <sheetViews>
    <sheetView tabSelected="1" topLeftCell="A2" workbookViewId="0">
      <selection activeCell="J12" sqref="J12"/>
    </sheetView>
  </sheetViews>
  <sheetFormatPr defaultRowHeight="14.45"/>
  <cols>
    <col min="1" max="1" width="25.85546875" customWidth="1"/>
    <col min="3" max="4" width="6.140625" customWidth="1"/>
    <col min="5" max="5" width="8" customWidth="1"/>
    <col min="15" max="15" width="12.7109375" customWidth="1"/>
  </cols>
  <sheetData>
    <row r="3" spans="1:6">
      <c r="B3" s="4" t="s">
        <v>0</v>
      </c>
      <c r="C3" s="4" t="s">
        <v>1</v>
      </c>
      <c r="D3" s="4"/>
      <c r="E3" s="4" t="s">
        <v>2</v>
      </c>
      <c r="F3" s="4"/>
    </row>
    <row r="4" spans="1:6">
      <c r="A4" s="1" t="s">
        <v>3</v>
      </c>
      <c r="B4" s="5">
        <v>1</v>
      </c>
      <c r="C4" s="5">
        <v>3</v>
      </c>
      <c r="D4" s="5">
        <f>SUMPRODUCT(B4:C4,B8:C8)</f>
        <v>12</v>
      </c>
      <c r="E4" s="5">
        <v>12</v>
      </c>
    </row>
    <row r="5" spans="1:6">
      <c r="B5" s="5">
        <v>2</v>
      </c>
      <c r="C5" s="5">
        <v>1</v>
      </c>
      <c r="D5" s="5">
        <f>SUMPRODUCT(B5:C5,B8:C8)</f>
        <v>8</v>
      </c>
      <c r="E5" s="5">
        <v>8</v>
      </c>
    </row>
    <row r="6" spans="1:6">
      <c r="B6" s="5">
        <v>1</v>
      </c>
      <c r="C6" s="5">
        <v>1</v>
      </c>
      <c r="D6" s="5">
        <f>SUMPRODUCT(B6:C6,B8:C8)</f>
        <v>5.6</v>
      </c>
      <c r="E6" s="5">
        <v>5.5</v>
      </c>
    </row>
    <row r="8" spans="1:6">
      <c r="A8" s="1" t="s">
        <v>4</v>
      </c>
      <c r="B8" s="5">
        <v>2.4</v>
      </c>
      <c r="C8" s="5">
        <v>3.1999999999999997</v>
      </c>
    </row>
    <row r="10" spans="1:6">
      <c r="B10" s="4" t="s">
        <v>5</v>
      </c>
      <c r="C10" s="4" t="s">
        <v>6</v>
      </c>
    </row>
    <row r="11" spans="1:6">
      <c r="A11" s="1" t="s">
        <v>7</v>
      </c>
      <c r="B11" s="5">
        <v>3</v>
      </c>
      <c r="C11" s="5">
        <v>6</v>
      </c>
      <c r="E11" s="6" t="s">
        <v>8</v>
      </c>
      <c r="F11" s="5">
        <f>SUMPRODUCT(B8:C8,B11:C11)</f>
        <v>26.4</v>
      </c>
    </row>
    <row r="14" spans="1:6">
      <c r="B14" s="3" t="s">
        <v>9</v>
      </c>
      <c r="C14">
        <v>2</v>
      </c>
    </row>
    <row r="15" spans="1:6">
      <c r="B15" s="3" t="s">
        <v>10</v>
      </c>
      <c r="C15">
        <v>2</v>
      </c>
    </row>
    <row r="16" spans="1:6">
      <c r="B16" s="3"/>
    </row>
    <row r="17" spans="1:15">
      <c r="A17" s="1" t="s">
        <v>11</v>
      </c>
      <c r="B17" s="3"/>
    </row>
    <row r="19" spans="1:15">
      <c r="A19" s="1" t="s">
        <v>12</v>
      </c>
    </row>
    <row r="20" spans="1:15">
      <c r="B20" s="4" t="s">
        <v>13</v>
      </c>
      <c r="E20" s="4" t="s">
        <v>0</v>
      </c>
      <c r="F20" s="4" t="s">
        <v>1</v>
      </c>
      <c r="G20" s="4" t="s">
        <v>14</v>
      </c>
      <c r="H20" s="4" t="s">
        <v>15</v>
      </c>
      <c r="I20" s="4" t="s">
        <v>16</v>
      </c>
      <c r="J20" s="4" t="s">
        <v>17</v>
      </c>
      <c r="K20" s="4" t="s">
        <v>18</v>
      </c>
      <c r="L20" s="4" t="s">
        <v>19</v>
      </c>
      <c r="M20" s="4" t="s">
        <v>2</v>
      </c>
      <c r="O20" s="4" t="s">
        <v>20</v>
      </c>
    </row>
    <row r="21" spans="1:15">
      <c r="B21" s="9" t="s">
        <v>17</v>
      </c>
      <c r="C21" s="7" t="s">
        <v>5</v>
      </c>
      <c r="D21" s="5">
        <v>0</v>
      </c>
      <c r="E21" s="10">
        <v>1</v>
      </c>
      <c r="F21" s="8">
        <v>3</v>
      </c>
      <c r="G21" s="10">
        <v>-1</v>
      </c>
      <c r="H21" s="10">
        <v>0</v>
      </c>
      <c r="I21" s="10">
        <v>0</v>
      </c>
      <c r="J21" s="10">
        <v>1</v>
      </c>
      <c r="K21" s="10">
        <v>0</v>
      </c>
      <c r="L21" s="10">
        <v>0</v>
      </c>
      <c r="M21" s="10">
        <v>12</v>
      </c>
      <c r="O21">
        <f t="shared" ref="O21:O22" si="0">M21/F21</f>
        <v>4</v>
      </c>
    </row>
    <row r="22" spans="1:15">
      <c r="B22" s="9" t="s">
        <v>18</v>
      </c>
      <c r="C22" s="7" t="s">
        <v>6</v>
      </c>
      <c r="D22" s="5">
        <v>0</v>
      </c>
      <c r="E22" s="10">
        <v>2</v>
      </c>
      <c r="F22" s="10">
        <v>1</v>
      </c>
      <c r="G22" s="10">
        <v>0</v>
      </c>
      <c r="H22" s="10">
        <v>-1</v>
      </c>
      <c r="I22" s="10">
        <v>0</v>
      </c>
      <c r="J22" s="10">
        <v>0</v>
      </c>
      <c r="K22" s="10">
        <v>1</v>
      </c>
      <c r="L22" s="10">
        <v>0</v>
      </c>
      <c r="M22" s="10">
        <v>8</v>
      </c>
      <c r="O22">
        <f t="shared" si="0"/>
        <v>8</v>
      </c>
    </row>
    <row r="23" spans="1:15">
      <c r="B23" s="9" t="s">
        <v>19</v>
      </c>
      <c r="C23" s="7" t="s">
        <v>21</v>
      </c>
      <c r="D23" s="5">
        <v>0</v>
      </c>
      <c r="E23" s="10">
        <v>1</v>
      </c>
      <c r="F23" s="10">
        <v>1</v>
      </c>
      <c r="G23" s="10">
        <v>0</v>
      </c>
      <c r="H23" s="10">
        <v>0</v>
      </c>
      <c r="I23" s="10">
        <v>-1</v>
      </c>
      <c r="J23" s="10">
        <v>0</v>
      </c>
      <c r="K23" s="10">
        <v>0</v>
      </c>
      <c r="L23" s="10">
        <v>1</v>
      </c>
      <c r="M23" s="10">
        <v>5.5</v>
      </c>
      <c r="O23">
        <f>M23/F23</f>
        <v>5.5</v>
      </c>
    </row>
    <row r="24" spans="1:15">
      <c r="D24" s="7" t="s">
        <v>22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/>
    </row>
    <row r="25" spans="1:15">
      <c r="D25" s="2" t="s">
        <v>23</v>
      </c>
      <c r="E25" s="10">
        <v>4</v>
      </c>
      <c r="F25" s="8">
        <v>5</v>
      </c>
      <c r="G25" s="10">
        <v>-1</v>
      </c>
      <c r="H25" s="10">
        <v>-1</v>
      </c>
      <c r="I25" s="10">
        <v>-1</v>
      </c>
      <c r="J25" s="10">
        <v>0</v>
      </c>
      <c r="K25" s="10">
        <v>0</v>
      </c>
      <c r="L25" s="10">
        <v>0</v>
      </c>
      <c r="M25" s="10"/>
    </row>
    <row r="26" spans="1:15">
      <c r="D26" s="2"/>
      <c r="E26" s="11"/>
      <c r="F26" s="11"/>
      <c r="G26" s="11"/>
      <c r="H26" s="11"/>
      <c r="I26" s="11"/>
      <c r="J26" s="11"/>
      <c r="K26" s="11"/>
      <c r="L26" s="11"/>
      <c r="M26" s="11"/>
    </row>
    <row r="27" spans="1:15">
      <c r="D27" t="s">
        <v>0</v>
      </c>
      <c r="E27">
        <v>0</v>
      </c>
    </row>
    <row r="28" spans="1:15">
      <c r="D28" t="s">
        <v>1</v>
      </c>
      <c r="E28">
        <v>0</v>
      </c>
    </row>
    <row r="29" spans="1:15">
      <c r="D29" t="s">
        <v>14</v>
      </c>
      <c r="E29">
        <v>0</v>
      </c>
    </row>
    <row r="30" spans="1:15">
      <c r="D30" t="s">
        <v>15</v>
      </c>
      <c r="E30">
        <v>0</v>
      </c>
    </row>
    <row r="31" spans="1:15">
      <c r="D31" t="s">
        <v>16</v>
      </c>
      <c r="E31">
        <v>0</v>
      </c>
    </row>
    <row r="32" spans="1:15">
      <c r="D32" t="s">
        <v>17</v>
      </c>
      <c r="E32">
        <v>12</v>
      </c>
    </row>
    <row r="33" spans="1:17">
      <c r="D33" t="s">
        <v>18</v>
      </c>
      <c r="E33">
        <v>8</v>
      </c>
    </row>
    <row r="34" spans="1:17">
      <c r="D34" t="s">
        <v>19</v>
      </c>
      <c r="E34">
        <v>5.5</v>
      </c>
    </row>
    <row r="36" spans="1:17">
      <c r="A36" s="1" t="s">
        <v>24</v>
      </c>
    </row>
    <row r="37" spans="1:17">
      <c r="B37" s="4" t="s">
        <v>13</v>
      </c>
      <c r="E37" s="4" t="s">
        <v>0</v>
      </c>
      <c r="F37" s="4" t="s">
        <v>1</v>
      </c>
      <c r="G37" s="4" t="s">
        <v>14</v>
      </c>
      <c r="H37" s="4" t="s">
        <v>15</v>
      </c>
      <c r="I37" s="4" t="s">
        <v>16</v>
      </c>
      <c r="J37" s="4" t="s">
        <v>17</v>
      </c>
      <c r="K37" s="4" t="s">
        <v>18</v>
      </c>
      <c r="L37" s="4" t="s">
        <v>19</v>
      </c>
      <c r="M37" s="4" t="s">
        <v>2</v>
      </c>
      <c r="O37" s="4"/>
      <c r="Q37" t="s">
        <v>20</v>
      </c>
    </row>
    <row r="38" spans="1:17">
      <c r="B38" s="9" t="s">
        <v>1</v>
      </c>
      <c r="C38" s="7" t="s">
        <v>5</v>
      </c>
      <c r="D38" s="5">
        <v>5</v>
      </c>
      <c r="E38" s="10">
        <f>E21/3</f>
        <v>0.33333333333333331</v>
      </c>
      <c r="F38" s="10">
        <f t="shared" ref="F38:M38" si="1">F21/3</f>
        <v>1</v>
      </c>
      <c r="G38" s="10">
        <f t="shared" si="1"/>
        <v>-0.33333333333333331</v>
      </c>
      <c r="H38" s="10">
        <f t="shared" si="1"/>
        <v>0</v>
      </c>
      <c r="I38" s="10">
        <f t="shared" si="1"/>
        <v>0</v>
      </c>
      <c r="J38" s="10">
        <f t="shared" si="1"/>
        <v>0.33333333333333331</v>
      </c>
      <c r="K38" s="10">
        <f t="shared" si="1"/>
        <v>0</v>
      </c>
      <c r="L38" s="10">
        <f t="shared" si="1"/>
        <v>0</v>
      </c>
      <c r="M38" s="10">
        <f t="shared" si="1"/>
        <v>4</v>
      </c>
      <c r="O38" t="s">
        <v>25</v>
      </c>
      <c r="Q38">
        <f>M38/E38</f>
        <v>12</v>
      </c>
    </row>
    <row r="39" spans="1:17">
      <c r="B39" s="9" t="s">
        <v>18</v>
      </c>
      <c r="C39" s="7" t="s">
        <v>6</v>
      </c>
      <c r="D39" s="5">
        <v>0</v>
      </c>
      <c r="E39" s="10">
        <f>-E38+E22</f>
        <v>1.6666666666666667</v>
      </c>
      <c r="F39" s="10">
        <f t="shared" ref="F39:M39" si="2">-F38+F22</f>
        <v>0</v>
      </c>
      <c r="G39" s="10">
        <f t="shared" si="2"/>
        <v>0.33333333333333331</v>
      </c>
      <c r="H39" s="10">
        <f t="shared" si="2"/>
        <v>-1</v>
      </c>
      <c r="I39" s="10">
        <f t="shared" si="2"/>
        <v>0</v>
      </c>
      <c r="J39" s="10">
        <f t="shared" si="2"/>
        <v>-0.33333333333333331</v>
      </c>
      <c r="K39" s="10">
        <f t="shared" si="2"/>
        <v>1</v>
      </c>
      <c r="L39" s="10">
        <f t="shared" si="2"/>
        <v>0</v>
      </c>
      <c r="M39" s="10">
        <f t="shared" si="2"/>
        <v>4</v>
      </c>
      <c r="O39" t="s">
        <v>26</v>
      </c>
      <c r="Q39">
        <f>M39/E39</f>
        <v>2.4</v>
      </c>
    </row>
    <row r="40" spans="1:17">
      <c r="B40" s="9" t="s">
        <v>19</v>
      </c>
      <c r="C40" s="7" t="s">
        <v>21</v>
      </c>
      <c r="D40" s="5">
        <v>0</v>
      </c>
      <c r="E40" s="8">
        <f>-E38+E23</f>
        <v>0.66666666666666674</v>
      </c>
      <c r="F40" s="10">
        <f t="shared" ref="F40:M40" si="3">-F38+F23</f>
        <v>0</v>
      </c>
      <c r="G40" s="10">
        <f t="shared" si="3"/>
        <v>0.33333333333333331</v>
      </c>
      <c r="H40" s="10">
        <f t="shared" si="3"/>
        <v>0</v>
      </c>
      <c r="I40" s="10">
        <f t="shared" si="3"/>
        <v>-1</v>
      </c>
      <c r="J40" s="10">
        <f t="shared" si="3"/>
        <v>-0.33333333333333331</v>
      </c>
      <c r="K40" s="10">
        <f t="shared" si="3"/>
        <v>0</v>
      </c>
      <c r="L40" s="10">
        <f t="shared" si="3"/>
        <v>1</v>
      </c>
      <c r="M40" s="10">
        <f t="shared" si="3"/>
        <v>1.5</v>
      </c>
      <c r="O40" t="s">
        <v>27</v>
      </c>
      <c r="Q40">
        <f>M40/E40</f>
        <v>2.2499999999999996</v>
      </c>
    </row>
    <row r="41" spans="1:17">
      <c r="D41" s="7" t="s">
        <v>22</v>
      </c>
      <c r="E41" s="10">
        <f>$D38*E38+$D39*E39+$D40*E40</f>
        <v>1.6666666666666665</v>
      </c>
      <c r="F41" s="10">
        <f t="shared" ref="F41:M41" si="4">$D38*F38+$D39*F39+$D40*F40</f>
        <v>5</v>
      </c>
      <c r="G41" s="10">
        <f t="shared" si="4"/>
        <v>-1.6666666666666665</v>
      </c>
      <c r="H41" s="10">
        <f t="shared" si="4"/>
        <v>0</v>
      </c>
      <c r="I41" s="10">
        <f t="shared" si="4"/>
        <v>0</v>
      </c>
      <c r="J41" s="10">
        <f t="shared" si="4"/>
        <v>1.6666666666666665</v>
      </c>
      <c r="K41" s="10">
        <f t="shared" si="4"/>
        <v>0</v>
      </c>
      <c r="L41" s="10">
        <f t="shared" si="4"/>
        <v>0</v>
      </c>
      <c r="M41" s="10">
        <f t="shared" si="4"/>
        <v>20</v>
      </c>
    </row>
    <row r="42" spans="1:17">
      <c r="D42" s="2" t="s">
        <v>23</v>
      </c>
      <c r="E42" s="8">
        <f>4-E41</f>
        <v>2.3333333333333335</v>
      </c>
      <c r="F42" s="10">
        <f>5-F41</f>
        <v>0</v>
      </c>
      <c r="G42" s="10">
        <f>-1-G41</f>
        <v>0.66666666666666652</v>
      </c>
      <c r="H42" s="10">
        <f>-1-H41</f>
        <v>-1</v>
      </c>
      <c r="I42" s="10">
        <f>-1-I41</f>
        <v>-1</v>
      </c>
      <c r="J42" s="10">
        <f>0-J41</f>
        <v>-1.6666666666666665</v>
      </c>
      <c r="K42" s="10">
        <f>0-K41</f>
        <v>0</v>
      </c>
      <c r="L42" s="10">
        <f>0-L41</f>
        <v>0</v>
      </c>
      <c r="M42" s="10"/>
    </row>
    <row r="43" spans="1:17">
      <c r="D43" s="2"/>
      <c r="E43" s="11"/>
      <c r="F43" s="11"/>
      <c r="G43" s="11"/>
      <c r="H43" s="11"/>
      <c r="I43" s="11"/>
      <c r="J43" s="11"/>
      <c r="K43" s="11"/>
      <c r="L43" s="11"/>
      <c r="M43" s="11"/>
    </row>
    <row r="44" spans="1:17">
      <c r="D44" t="s">
        <v>0</v>
      </c>
      <c r="E44">
        <v>0</v>
      </c>
    </row>
    <row r="45" spans="1:17">
      <c r="D45" t="s">
        <v>1</v>
      </c>
      <c r="E45">
        <v>4</v>
      </c>
    </row>
    <row r="46" spans="1:17">
      <c r="D46" t="s">
        <v>14</v>
      </c>
      <c r="E46">
        <v>0</v>
      </c>
    </row>
    <row r="47" spans="1:17">
      <c r="D47" t="s">
        <v>15</v>
      </c>
      <c r="E47">
        <v>0</v>
      </c>
    </row>
    <row r="48" spans="1:17">
      <c r="D48" t="s">
        <v>16</v>
      </c>
      <c r="E48">
        <v>0</v>
      </c>
    </row>
    <row r="49" spans="1:17">
      <c r="D49" t="s">
        <v>17</v>
      </c>
      <c r="E49">
        <v>0</v>
      </c>
    </row>
    <row r="50" spans="1:17">
      <c r="D50" t="s">
        <v>18</v>
      </c>
      <c r="E50">
        <v>4</v>
      </c>
    </row>
    <row r="51" spans="1:17">
      <c r="D51" t="s">
        <v>19</v>
      </c>
      <c r="E51">
        <v>1.5</v>
      </c>
    </row>
    <row r="54" spans="1:17">
      <c r="A54" s="1" t="s">
        <v>28</v>
      </c>
    </row>
    <row r="55" spans="1:17">
      <c r="B55" s="4" t="s">
        <v>13</v>
      </c>
      <c r="E55" s="4" t="s">
        <v>0</v>
      </c>
      <c r="F55" s="4" t="s">
        <v>1</v>
      </c>
      <c r="G55" s="4" t="s">
        <v>14</v>
      </c>
      <c r="H55" s="4" t="s">
        <v>15</v>
      </c>
      <c r="I55" s="4" t="s">
        <v>16</v>
      </c>
      <c r="J55" s="4" t="s">
        <v>17</v>
      </c>
      <c r="K55" s="4" t="s">
        <v>18</v>
      </c>
      <c r="L55" s="4" t="s">
        <v>19</v>
      </c>
      <c r="M55" s="4" t="s">
        <v>2</v>
      </c>
      <c r="O55" s="4"/>
      <c r="Q55" t="s">
        <v>20</v>
      </c>
    </row>
    <row r="56" spans="1:17">
      <c r="B56" s="9" t="s">
        <v>1</v>
      </c>
      <c r="C56" s="7" t="s">
        <v>5</v>
      </c>
      <c r="D56" s="5">
        <v>5</v>
      </c>
      <c r="E56" s="10">
        <f>-E58*$E38+E38</f>
        <v>0</v>
      </c>
      <c r="F56" s="10">
        <f t="shared" ref="F56:M56" si="5">-F58*$E38+F38</f>
        <v>1</v>
      </c>
      <c r="G56" s="10">
        <f t="shared" si="5"/>
        <v>-0.49999999999999994</v>
      </c>
      <c r="H56" s="10">
        <f t="shared" si="5"/>
        <v>0</v>
      </c>
      <c r="I56" s="10">
        <f t="shared" si="5"/>
        <v>0.49999999999999989</v>
      </c>
      <c r="J56" s="10">
        <f t="shared" si="5"/>
        <v>0.49999999999999994</v>
      </c>
      <c r="K56" s="10">
        <f t="shared" si="5"/>
        <v>0</v>
      </c>
      <c r="L56" s="10">
        <f t="shared" si="5"/>
        <v>-0.49999999999999989</v>
      </c>
      <c r="M56" s="10">
        <f t="shared" si="5"/>
        <v>3.25</v>
      </c>
      <c r="O56" t="s">
        <v>29</v>
      </c>
      <c r="Q56">
        <f>M56/I56</f>
        <v>6.5000000000000018</v>
      </c>
    </row>
    <row r="57" spans="1:17">
      <c r="B57" s="9" t="s">
        <v>18</v>
      </c>
      <c r="C57" s="7" t="s">
        <v>6</v>
      </c>
      <c r="D57" s="5">
        <v>0</v>
      </c>
      <c r="E57" s="10">
        <f>-E58*$E39+E39</f>
        <v>0</v>
      </c>
      <c r="F57" s="10">
        <f t="shared" ref="F57:M57" si="6">-F58*$E39+F39</f>
        <v>0</v>
      </c>
      <c r="G57" s="10">
        <f t="shared" si="6"/>
        <v>-0.49999999999999983</v>
      </c>
      <c r="H57" s="10">
        <f t="shared" si="6"/>
        <v>-1</v>
      </c>
      <c r="I57" s="8">
        <f t="shared" si="6"/>
        <v>2.4999999999999996</v>
      </c>
      <c r="J57" s="10">
        <f t="shared" si="6"/>
        <v>0.49999999999999983</v>
      </c>
      <c r="K57" s="10">
        <f t="shared" si="6"/>
        <v>1</v>
      </c>
      <c r="L57" s="10">
        <f t="shared" si="6"/>
        <v>-2.4999999999999996</v>
      </c>
      <c r="M57" s="10">
        <f t="shared" si="6"/>
        <v>0.25000000000000044</v>
      </c>
      <c r="O57" t="s">
        <v>30</v>
      </c>
      <c r="Q57">
        <f>M57/I57</f>
        <v>0.1000000000000002</v>
      </c>
    </row>
    <row r="58" spans="1:17">
      <c r="B58" s="9" t="s">
        <v>0</v>
      </c>
      <c r="C58" s="7" t="s">
        <v>21</v>
      </c>
      <c r="D58" s="5">
        <v>4</v>
      </c>
      <c r="E58" s="10">
        <f>E40/$E40</f>
        <v>1</v>
      </c>
      <c r="F58" s="10">
        <f t="shared" ref="F58:M58" si="7">F40/$E40</f>
        <v>0</v>
      </c>
      <c r="G58" s="10">
        <f t="shared" si="7"/>
        <v>0.49999999999999989</v>
      </c>
      <c r="H58" s="10">
        <f t="shared" si="7"/>
        <v>0</v>
      </c>
      <c r="I58" s="10">
        <f t="shared" si="7"/>
        <v>-1.4999999999999998</v>
      </c>
      <c r="J58" s="10">
        <f t="shared" si="7"/>
        <v>-0.49999999999999989</v>
      </c>
      <c r="K58" s="10">
        <f t="shared" si="7"/>
        <v>0</v>
      </c>
      <c r="L58" s="10">
        <f t="shared" si="7"/>
        <v>1.4999999999999998</v>
      </c>
      <c r="M58" s="10">
        <f t="shared" si="7"/>
        <v>2.2499999999999996</v>
      </c>
      <c r="O58" t="s">
        <v>31</v>
      </c>
      <c r="Q58" t="s">
        <v>32</v>
      </c>
    </row>
    <row r="59" spans="1:17">
      <c r="D59" s="7" t="s">
        <v>22</v>
      </c>
      <c r="E59" s="10">
        <f>$D56*E56+$D57*E57+$D58*E58</f>
        <v>4</v>
      </c>
      <c r="F59" s="10">
        <f t="shared" ref="F59:M59" si="8">$D56*F56+$D57*F57+$D58*F58</f>
        <v>5</v>
      </c>
      <c r="G59" s="10">
        <f t="shared" si="8"/>
        <v>-0.5</v>
      </c>
      <c r="H59" s="10">
        <f t="shared" si="8"/>
        <v>0</v>
      </c>
      <c r="I59" s="10">
        <f t="shared" si="8"/>
        <v>-3.4999999999999996</v>
      </c>
      <c r="J59" s="10">
        <f t="shared" si="8"/>
        <v>0.5</v>
      </c>
      <c r="K59" s="10">
        <f t="shared" si="8"/>
        <v>0</v>
      </c>
      <c r="L59" s="10">
        <f t="shared" si="8"/>
        <v>3.4999999999999996</v>
      </c>
      <c r="M59" s="10">
        <f t="shared" si="8"/>
        <v>25.25</v>
      </c>
    </row>
    <row r="60" spans="1:17">
      <c r="D60" s="2" t="s">
        <v>23</v>
      </c>
      <c r="E60" s="10">
        <f>4-E59</f>
        <v>0</v>
      </c>
      <c r="F60" s="10">
        <f>5-F59</f>
        <v>0</v>
      </c>
      <c r="G60" s="10">
        <f>-1-G59</f>
        <v>-0.5</v>
      </c>
      <c r="H60" s="10">
        <f>-1-H59</f>
        <v>-1</v>
      </c>
      <c r="I60" s="8">
        <f>-1-I59</f>
        <v>2.4999999999999996</v>
      </c>
      <c r="J60" s="10">
        <f>0-J59</f>
        <v>-0.5</v>
      </c>
      <c r="K60" s="10">
        <f>0-K59</f>
        <v>0</v>
      </c>
      <c r="L60" s="10">
        <f>0-L59</f>
        <v>-3.4999999999999996</v>
      </c>
      <c r="M60" s="10"/>
    </row>
    <row r="61" spans="1:17">
      <c r="D61" s="2"/>
      <c r="E61" s="11"/>
      <c r="F61" s="11"/>
      <c r="G61" s="11"/>
      <c r="H61" s="11"/>
      <c r="I61" s="11"/>
      <c r="J61" s="11"/>
      <c r="K61" s="11"/>
      <c r="L61" s="11"/>
      <c r="M61" s="11"/>
    </row>
    <row r="62" spans="1:17">
      <c r="D62" t="s">
        <v>0</v>
      </c>
      <c r="E62">
        <v>2.25</v>
      </c>
    </row>
    <row r="63" spans="1:17">
      <c r="D63" t="s">
        <v>1</v>
      </c>
      <c r="E63">
        <v>3.25</v>
      </c>
    </row>
    <row r="64" spans="1:17">
      <c r="D64" t="s">
        <v>14</v>
      </c>
      <c r="E64">
        <v>0</v>
      </c>
    </row>
    <row r="65" spans="1:15">
      <c r="D65" t="s">
        <v>15</v>
      </c>
      <c r="E65">
        <v>0</v>
      </c>
    </row>
    <row r="66" spans="1:15">
      <c r="D66" t="s">
        <v>16</v>
      </c>
      <c r="E66">
        <v>0</v>
      </c>
    </row>
    <row r="67" spans="1:15">
      <c r="D67" t="s">
        <v>17</v>
      </c>
      <c r="E67">
        <v>0</v>
      </c>
    </row>
    <row r="68" spans="1:15">
      <c r="D68" t="s">
        <v>18</v>
      </c>
      <c r="E68">
        <v>0.25</v>
      </c>
    </row>
    <row r="69" spans="1:15">
      <c r="D69" t="s">
        <v>19</v>
      </c>
      <c r="E69">
        <v>0</v>
      </c>
    </row>
    <row r="72" spans="1:15">
      <c r="A72" s="1" t="s">
        <v>33</v>
      </c>
    </row>
    <row r="73" spans="1:15">
      <c r="B73" s="4" t="s">
        <v>13</v>
      </c>
      <c r="E73" s="4" t="s">
        <v>0</v>
      </c>
      <c r="F73" s="4" t="s">
        <v>1</v>
      </c>
      <c r="G73" s="4" t="s">
        <v>14</v>
      </c>
      <c r="H73" s="4" t="s">
        <v>15</v>
      </c>
      <c r="I73" s="4" t="s">
        <v>16</v>
      </c>
      <c r="J73" s="4" t="s">
        <v>17</v>
      </c>
      <c r="K73" s="4" t="s">
        <v>18</v>
      </c>
      <c r="L73" s="4" t="s">
        <v>19</v>
      </c>
      <c r="M73" s="4" t="s">
        <v>2</v>
      </c>
      <c r="O73" s="4"/>
    </row>
    <row r="74" spans="1:15">
      <c r="B74" s="9" t="s">
        <v>1</v>
      </c>
      <c r="C74" s="7" t="s">
        <v>5</v>
      </c>
      <c r="D74" s="5">
        <v>5</v>
      </c>
      <c r="E74" s="10">
        <f>-E75/2+E56</f>
        <v>0</v>
      </c>
      <c r="F74" s="10">
        <f t="shared" ref="F74:M74" si="9">-F75/2+F56</f>
        <v>1</v>
      </c>
      <c r="G74" s="10">
        <f t="shared" si="9"/>
        <v>-0.39999999999999997</v>
      </c>
      <c r="H74" s="10">
        <f t="shared" si="9"/>
        <v>0.2</v>
      </c>
      <c r="I74" s="10">
        <f t="shared" si="9"/>
        <v>0</v>
      </c>
      <c r="J74" s="10">
        <f t="shared" si="9"/>
        <v>0.39999999999999997</v>
      </c>
      <c r="K74" s="10">
        <f t="shared" si="9"/>
        <v>-0.2</v>
      </c>
      <c r="L74" s="10">
        <f t="shared" si="9"/>
        <v>0</v>
      </c>
      <c r="M74" s="10">
        <f t="shared" si="9"/>
        <v>3.1999999999999997</v>
      </c>
      <c r="O74" t="s">
        <v>34</v>
      </c>
    </row>
    <row r="75" spans="1:15">
      <c r="B75" s="9" t="s">
        <v>16</v>
      </c>
      <c r="C75" s="7" t="s">
        <v>6</v>
      </c>
      <c r="D75" s="5">
        <v>-1</v>
      </c>
      <c r="E75" s="10">
        <f>E57/2.5</f>
        <v>0</v>
      </c>
      <c r="F75" s="10">
        <f t="shared" ref="F75:M75" si="10">F57/2.5</f>
        <v>0</v>
      </c>
      <c r="G75" s="10">
        <f t="shared" si="10"/>
        <v>-0.19999999999999993</v>
      </c>
      <c r="H75" s="10">
        <f t="shared" si="10"/>
        <v>-0.4</v>
      </c>
      <c r="I75" s="10">
        <f t="shared" si="10"/>
        <v>0.99999999999999978</v>
      </c>
      <c r="J75" s="10">
        <f t="shared" si="10"/>
        <v>0.19999999999999993</v>
      </c>
      <c r="K75" s="10">
        <f t="shared" si="10"/>
        <v>0.4</v>
      </c>
      <c r="L75" s="10">
        <f t="shared" si="10"/>
        <v>-0.99999999999999978</v>
      </c>
      <c r="M75" s="10">
        <f t="shared" si="10"/>
        <v>0.10000000000000017</v>
      </c>
      <c r="O75" t="s">
        <v>35</v>
      </c>
    </row>
    <row r="76" spans="1:15">
      <c r="B76" s="9" t="s">
        <v>0</v>
      </c>
      <c r="C76" s="7" t="s">
        <v>21</v>
      </c>
      <c r="D76" s="5">
        <v>4</v>
      </c>
      <c r="E76" s="10">
        <f>E75*1.5+E58</f>
        <v>1</v>
      </c>
      <c r="F76" s="10">
        <f t="shared" ref="F76:M76" si="11">F75*1.5+F58</f>
        <v>0</v>
      </c>
      <c r="G76" s="10">
        <f t="shared" si="11"/>
        <v>0.2</v>
      </c>
      <c r="H76" s="10">
        <f t="shared" si="11"/>
        <v>-0.60000000000000009</v>
      </c>
      <c r="I76" s="10">
        <f t="shared" si="11"/>
        <v>0</v>
      </c>
      <c r="J76" s="10">
        <f t="shared" si="11"/>
        <v>-0.2</v>
      </c>
      <c r="K76" s="10">
        <f t="shared" si="11"/>
        <v>0.60000000000000009</v>
      </c>
      <c r="L76" s="10">
        <f t="shared" si="11"/>
        <v>0</v>
      </c>
      <c r="M76" s="10">
        <f t="shared" si="11"/>
        <v>2.4</v>
      </c>
      <c r="O76" t="s">
        <v>36</v>
      </c>
    </row>
    <row r="77" spans="1:15">
      <c r="D77" s="7" t="s">
        <v>22</v>
      </c>
      <c r="E77" s="10">
        <f>D74*E74+D75*E75+D76*E76</f>
        <v>4</v>
      </c>
      <c r="F77" s="10">
        <f>D74*F74+D75*F75+D76*F76</f>
        <v>5</v>
      </c>
      <c r="G77" s="10">
        <f>D74*G74+D75*G75+D76*G76</f>
        <v>-0.99999999999999978</v>
      </c>
      <c r="H77" s="10">
        <f>D74*H74+D75*H75+D76*H76</f>
        <v>-1.0000000000000004</v>
      </c>
      <c r="I77" s="10">
        <f>D74*I74+D75*I75+D76*I76</f>
        <v>-0.99999999999999978</v>
      </c>
      <c r="J77" s="10">
        <f>D74*J74+D75*J75+D76*J76</f>
        <v>0.99999999999999978</v>
      </c>
      <c r="K77" s="10">
        <f>D74*K74+D75*K75+D76*K76</f>
        <v>1.0000000000000004</v>
      </c>
      <c r="L77" s="10">
        <f>D74*L74+D75*L75+D76*L76</f>
        <v>0.99999999999999978</v>
      </c>
      <c r="M77" s="10">
        <f>D74*M74+D75*M75+D76*M76</f>
        <v>25.5</v>
      </c>
    </row>
    <row r="78" spans="1:15">
      <c r="D78" s="2" t="s">
        <v>23</v>
      </c>
      <c r="E78" s="10"/>
      <c r="F78" s="10"/>
      <c r="G78" s="10"/>
      <c r="H78" s="10"/>
      <c r="I78" s="10"/>
      <c r="J78" s="10"/>
      <c r="K78" s="10"/>
      <c r="L78" s="10"/>
      <c r="M78" s="10"/>
    </row>
    <row r="79" spans="1:15">
      <c r="D79" s="2"/>
      <c r="E79" s="11"/>
      <c r="F79" s="11"/>
      <c r="G79" s="11"/>
      <c r="H79" s="11"/>
      <c r="I79" s="11"/>
      <c r="J79" s="11"/>
      <c r="K79" s="11"/>
      <c r="L79" s="11"/>
      <c r="M79" s="11"/>
    </row>
    <row r="80" spans="1:15">
      <c r="D80" t="s">
        <v>0</v>
      </c>
      <c r="E80">
        <v>2.4</v>
      </c>
    </row>
    <row r="81" spans="1:10">
      <c r="D81" t="s">
        <v>1</v>
      </c>
      <c r="E81">
        <v>3.2</v>
      </c>
    </row>
    <row r="82" spans="1:10">
      <c r="D82" t="s">
        <v>14</v>
      </c>
      <c r="E82">
        <v>0</v>
      </c>
    </row>
    <row r="83" spans="1:10">
      <c r="D83" t="s">
        <v>15</v>
      </c>
      <c r="E83">
        <v>0</v>
      </c>
    </row>
    <row r="84" spans="1:10">
      <c r="D84" t="s">
        <v>16</v>
      </c>
      <c r="E84">
        <v>0.1</v>
      </c>
    </row>
    <row r="85" spans="1:10">
      <c r="D85" t="s">
        <v>17</v>
      </c>
      <c r="E85">
        <v>0</v>
      </c>
    </row>
    <row r="86" spans="1:10">
      <c r="D86" t="s">
        <v>18</v>
      </c>
      <c r="E86">
        <v>0</v>
      </c>
    </row>
    <row r="87" spans="1:10">
      <c r="D87" t="s">
        <v>19</v>
      </c>
      <c r="E87">
        <v>0</v>
      </c>
    </row>
    <row r="89" spans="1:10">
      <c r="A89" s="1" t="s">
        <v>37</v>
      </c>
    </row>
    <row r="91" spans="1:10">
      <c r="A91" s="1" t="s">
        <v>12</v>
      </c>
    </row>
    <row r="92" spans="1:10">
      <c r="B92" s="4" t="s">
        <v>13</v>
      </c>
      <c r="E92" s="4" t="s">
        <v>0</v>
      </c>
      <c r="F92" s="4" t="s">
        <v>1</v>
      </c>
      <c r="G92" s="4" t="s">
        <v>14</v>
      </c>
      <c r="H92" s="4" t="s">
        <v>15</v>
      </c>
      <c r="I92" s="4" t="s">
        <v>16</v>
      </c>
      <c r="J92" s="4" t="s">
        <v>2</v>
      </c>
    </row>
    <row r="93" spans="1:10">
      <c r="B93" s="9" t="s">
        <v>1</v>
      </c>
      <c r="C93" s="7" t="s">
        <v>5</v>
      </c>
      <c r="D93" s="5">
        <v>6</v>
      </c>
      <c r="E93" s="10">
        <v>0</v>
      </c>
      <c r="F93" s="10">
        <v>1</v>
      </c>
      <c r="G93" s="10">
        <v>-0.39999999999999997</v>
      </c>
      <c r="H93" s="10">
        <v>0.2</v>
      </c>
      <c r="I93" s="10">
        <v>0</v>
      </c>
      <c r="J93" s="10">
        <v>3.2</v>
      </c>
    </row>
    <row r="94" spans="1:10">
      <c r="B94" s="9" t="s">
        <v>16</v>
      </c>
      <c r="C94" s="7" t="s">
        <v>6</v>
      </c>
      <c r="D94" s="5">
        <v>0</v>
      </c>
      <c r="E94" s="10">
        <v>0</v>
      </c>
      <c r="F94" s="10">
        <v>0</v>
      </c>
      <c r="G94" s="10">
        <v>-0.19999999999999993</v>
      </c>
      <c r="H94" s="10">
        <v>-0.4</v>
      </c>
      <c r="I94" s="10">
        <v>0.99999999999999978</v>
      </c>
      <c r="J94" s="10">
        <v>0.1</v>
      </c>
    </row>
    <row r="95" spans="1:10">
      <c r="B95" s="9" t="s">
        <v>0</v>
      </c>
      <c r="C95" s="7" t="s">
        <v>21</v>
      </c>
      <c r="D95" s="5">
        <v>3</v>
      </c>
      <c r="E95" s="10">
        <v>1</v>
      </c>
      <c r="F95" s="10">
        <v>0</v>
      </c>
      <c r="G95" s="10">
        <v>0.2</v>
      </c>
      <c r="H95" s="10">
        <v>-0.60000000000000009</v>
      </c>
      <c r="I95" s="10">
        <v>0</v>
      </c>
      <c r="J95" s="10">
        <v>2.4</v>
      </c>
    </row>
    <row r="96" spans="1:10">
      <c r="D96" s="7" t="s">
        <v>22</v>
      </c>
      <c r="E96" s="10">
        <f>D93*E93+D94*E94+D95*E95</f>
        <v>3</v>
      </c>
      <c r="F96" s="10">
        <f>D93*F93+D94*F94+D95*F95</f>
        <v>6</v>
      </c>
      <c r="G96" s="10">
        <f>D93*G93+D94*G94+D95*G95</f>
        <v>-1.7999999999999998</v>
      </c>
      <c r="H96" s="10">
        <f>D93*H93+D94*H94+D95*H95</f>
        <v>-0.60000000000000009</v>
      </c>
      <c r="I96" s="10">
        <f>D93*I93+D94*I94+D95*I95</f>
        <v>0</v>
      </c>
      <c r="J96" s="10">
        <f>D93*J93+D94*J94+D95*J95</f>
        <v>26.400000000000002</v>
      </c>
    </row>
    <row r="97" spans="4:13">
      <c r="D97" s="2" t="s">
        <v>38</v>
      </c>
      <c r="E97" s="10">
        <f>E96-3</f>
        <v>0</v>
      </c>
      <c r="F97" s="10">
        <f>F96-6</f>
        <v>0</v>
      </c>
      <c r="G97" s="10">
        <f>G96-0</f>
        <v>-1.7999999999999998</v>
      </c>
      <c r="H97" s="10">
        <f>H96-0</f>
        <v>-0.60000000000000009</v>
      </c>
      <c r="I97" s="10">
        <f>I96-0</f>
        <v>0</v>
      </c>
      <c r="J97" s="10"/>
    </row>
    <row r="98" spans="4:13">
      <c r="D98" s="2"/>
      <c r="E98" s="11"/>
      <c r="F98" s="11"/>
      <c r="G98" s="11"/>
      <c r="H98" s="11"/>
      <c r="I98" s="11"/>
      <c r="J98" s="11"/>
      <c r="K98" s="11"/>
      <c r="L98" s="11"/>
      <c r="M98" s="11"/>
    </row>
    <row r="99" spans="4:13">
      <c r="D99" t="s">
        <v>0</v>
      </c>
      <c r="E99">
        <v>2.4</v>
      </c>
    </row>
    <row r="100" spans="4:13">
      <c r="D100" t="s">
        <v>1</v>
      </c>
      <c r="E100">
        <v>3.2</v>
      </c>
    </row>
    <row r="101" spans="4:13">
      <c r="D101" t="s">
        <v>14</v>
      </c>
      <c r="E101">
        <v>0</v>
      </c>
    </row>
    <row r="102" spans="4:13">
      <c r="D102" t="s">
        <v>15</v>
      </c>
      <c r="E102">
        <v>0</v>
      </c>
    </row>
    <row r="103" spans="4:13">
      <c r="D103" t="s">
        <v>16</v>
      </c>
      <c r="E103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1E29-7FA4-4161-A4DB-33D82BCC3595}">
  <dimension ref="A3:O85"/>
  <sheetViews>
    <sheetView topLeftCell="A45" workbookViewId="0">
      <selection activeCell="A61" sqref="A61:XFD61"/>
    </sheetView>
  </sheetViews>
  <sheetFormatPr defaultRowHeight="14.45"/>
  <cols>
    <col min="1" max="1" width="25.85546875" customWidth="1"/>
    <col min="3" max="4" width="6.140625" customWidth="1"/>
    <col min="5" max="5" width="8" customWidth="1"/>
    <col min="13" max="13" width="12.7109375" customWidth="1"/>
  </cols>
  <sheetData>
    <row r="3" spans="1:6">
      <c r="B3" s="4" t="s">
        <v>0</v>
      </c>
      <c r="C3" s="4" t="s">
        <v>1</v>
      </c>
      <c r="D3" s="4"/>
      <c r="E3" s="4" t="s">
        <v>2</v>
      </c>
      <c r="F3" s="4"/>
    </row>
    <row r="4" spans="1:6">
      <c r="A4" s="1" t="s">
        <v>3</v>
      </c>
      <c r="B4" s="5">
        <v>2</v>
      </c>
      <c r="C4" s="5">
        <v>2</v>
      </c>
      <c r="D4" s="5">
        <f>SUMPRODUCT(B4:C4,B7:C7)</f>
        <v>10</v>
      </c>
      <c r="E4" s="5">
        <v>10</v>
      </c>
    </row>
    <row r="5" spans="1:6">
      <c r="B5" s="5">
        <v>1</v>
      </c>
      <c r="C5" s="5">
        <v>6</v>
      </c>
      <c r="D5" s="5">
        <f>SUMPRODUCT(B5:C5,B7:C7)</f>
        <v>30</v>
      </c>
      <c r="E5" s="5">
        <v>20</v>
      </c>
    </row>
    <row r="7" spans="1:6">
      <c r="A7" s="1" t="s">
        <v>4</v>
      </c>
      <c r="B7" s="5">
        <v>0</v>
      </c>
      <c r="C7" s="5">
        <v>5</v>
      </c>
    </row>
    <row r="9" spans="1:6">
      <c r="B9" s="4" t="s">
        <v>5</v>
      </c>
      <c r="C9" s="4" t="s">
        <v>6</v>
      </c>
    </row>
    <row r="10" spans="1:6">
      <c r="A10" s="1" t="s">
        <v>7</v>
      </c>
      <c r="B10" s="5">
        <v>4</v>
      </c>
      <c r="C10" s="5">
        <v>1</v>
      </c>
      <c r="E10" s="6" t="s">
        <v>8</v>
      </c>
      <c r="F10" s="5">
        <f>SUMPRODUCT(B7:C7,B10:C10)</f>
        <v>5</v>
      </c>
    </row>
    <row r="13" spans="1:6">
      <c r="B13" s="3" t="s">
        <v>9</v>
      </c>
      <c r="C13">
        <v>2</v>
      </c>
    </row>
    <row r="14" spans="1:6">
      <c r="B14" s="3" t="s">
        <v>10</v>
      </c>
      <c r="C14">
        <v>2</v>
      </c>
    </row>
    <row r="15" spans="1:6">
      <c r="B15" s="3"/>
    </row>
    <row r="16" spans="1:6">
      <c r="A16" s="1" t="s">
        <v>11</v>
      </c>
      <c r="B16" s="3"/>
    </row>
    <row r="18" spans="1:13">
      <c r="A18" s="1" t="s">
        <v>12</v>
      </c>
    </row>
    <row r="19" spans="1:13">
      <c r="B19" s="4" t="s">
        <v>13</v>
      </c>
      <c r="E19" s="4" t="s">
        <v>0</v>
      </c>
      <c r="F19" s="4" t="s">
        <v>1</v>
      </c>
      <c r="G19" s="4" t="s">
        <v>14</v>
      </c>
      <c r="H19" s="4" t="s">
        <v>15</v>
      </c>
      <c r="I19" s="4" t="s">
        <v>17</v>
      </c>
      <c r="J19" s="4" t="s">
        <v>18</v>
      </c>
      <c r="K19" s="4" t="s">
        <v>2</v>
      </c>
      <c r="M19" s="4" t="s">
        <v>20</v>
      </c>
    </row>
    <row r="20" spans="1:13">
      <c r="B20" s="9" t="s">
        <v>17</v>
      </c>
      <c r="C20" s="7" t="s">
        <v>5</v>
      </c>
      <c r="D20" s="5">
        <v>0</v>
      </c>
      <c r="E20" s="5">
        <v>2</v>
      </c>
      <c r="F20" s="5">
        <v>2</v>
      </c>
      <c r="G20" s="5">
        <v>-1</v>
      </c>
      <c r="H20" s="5">
        <v>0</v>
      </c>
      <c r="I20" s="5">
        <v>1</v>
      </c>
      <c r="J20" s="5">
        <v>0</v>
      </c>
      <c r="K20" s="5">
        <v>10</v>
      </c>
      <c r="M20">
        <f>K20/F20</f>
        <v>5</v>
      </c>
    </row>
    <row r="21" spans="1:13">
      <c r="B21" s="9" t="s">
        <v>18</v>
      </c>
      <c r="C21" s="7" t="s">
        <v>6</v>
      </c>
      <c r="D21" s="5">
        <v>0</v>
      </c>
      <c r="E21" s="5">
        <v>1</v>
      </c>
      <c r="F21" s="8">
        <v>6</v>
      </c>
      <c r="G21" s="5">
        <v>0</v>
      </c>
      <c r="H21" s="5">
        <v>-1</v>
      </c>
      <c r="I21" s="5">
        <v>0</v>
      </c>
      <c r="J21" s="5">
        <v>1</v>
      </c>
      <c r="K21" s="5">
        <v>20</v>
      </c>
      <c r="M21">
        <f>K21/F21</f>
        <v>3.3333333333333335</v>
      </c>
    </row>
    <row r="22" spans="1:13">
      <c r="B22" s="7"/>
      <c r="C22" s="7"/>
      <c r="D22" s="7" t="s">
        <v>22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3">
      <c r="D23" s="2" t="s">
        <v>23</v>
      </c>
      <c r="E23" s="5">
        <v>3</v>
      </c>
      <c r="F23" s="8">
        <v>8</v>
      </c>
      <c r="G23" s="5">
        <v>-1</v>
      </c>
      <c r="H23" s="5">
        <v>-1</v>
      </c>
      <c r="I23" s="5">
        <v>0</v>
      </c>
      <c r="J23" s="5">
        <v>0</v>
      </c>
      <c r="K23" s="5"/>
    </row>
    <row r="25" spans="1:13">
      <c r="D25" t="s">
        <v>39</v>
      </c>
      <c r="E25">
        <v>0</v>
      </c>
    </row>
    <row r="26" spans="1:13">
      <c r="D26" t="s">
        <v>40</v>
      </c>
      <c r="E26">
        <v>0</v>
      </c>
    </row>
    <row r="27" spans="1:13">
      <c r="D27" t="s">
        <v>14</v>
      </c>
      <c r="E27">
        <v>0</v>
      </c>
    </row>
    <row r="28" spans="1:13">
      <c r="D28" t="s">
        <v>15</v>
      </c>
      <c r="E28">
        <v>0</v>
      </c>
    </row>
    <row r="29" spans="1:13">
      <c r="D29" t="s">
        <v>17</v>
      </c>
      <c r="E29">
        <v>10</v>
      </c>
    </row>
    <row r="30" spans="1:13">
      <c r="D30" t="s">
        <v>18</v>
      </c>
      <c r="E30">
        <v>20</v>
      </c>
    </row>
    <row r="32" spans="1:13">
      <c r="A32" s="1" t="s">
        <v>24</v>
      </c>
    </row>
    <row r="33" spans="1:15">
      <c r="B33" s="4" t="s">
        <v>13</v>
      </c>
      <c r="E33" s="4" t="s">
        <v>0</v>
      </c>
      <c r="F33" s="4" t="s">
        <v>1</v>
      </c>
      <c r="G33" s="4" t="s">
        <v>14</v>
      </c>
      <c r="H33" s="4" t="s">
        <v>15</v>
      </c>
      <c r="I33" s="4" t="s">
        <v>17</v>
      </c>
      <c r="J33" s="4" t="s">
        <v>18</v>
      </c>
      <c r="K33" s="4" t="s">
        <v>2</v>
      </c>
      <c r="O33" t="s">
        <v>20</v>
      </c>
    </row>
    <row r="34" spans="1:15">
      <c r="B34" s="9" t="s">
        <v>17</v>
      </c>
      <c r="C34" s="7" t="s">
        <v>5</v>
      </c>
      <c r="D34" s="5">
        <v>0</v>
      </c>
      <c r="E34" s="8">
        <f>-2*E35+E20</f>
        <v>1.6666666666666667</v>
      </c>
      <c r="F34" s="5">
        <f t="shared" ref="F34:K34" si="0">-2*F35+F20</f>
        <v>0</v>
      </c>
      <c r="G34" s="5">
        <f t="shared" si="0"/>
        <v>-1</v>
      </c>
      <c r="H34" s="5">
        <f t="shared" si="0"/>
        <v>0.33333333333333331</v>
      </c>
      <c r="I34" s="5">
        <f t="shared" si="0"/>
        <v>1</v>
      </c>
      <c r="J34" s="5">
        <f t="shared" si="0"/>
        <v>-0.33333333333333331</v>
      </c>
      <c r="K34" s="5">
        <f t="shared" si="0"/>
        <v>3.333333333333333</v>
      </c>
      <c r="M34" t="s">
        <v>41</v>
      </c>
      <c r="O34">
        <f>K34/E34</f>
        <v>1.9999999999999998</v>
      </c>
    </row>
    <row r="35" spans="1:15">
      <c r="B35" s="9" t="s">
        <v>1</v>
      </c>
      <c r="C35" s="7" t="s">
        <v>6</v>
      </c>
      <c r="D35" s="5">
        <v>8</v>
      </c>
      <c r="E35" s="5">
        <f>E21/$F21</f>
        <v>0.16666666666666666</v>
      </c>
      <c r="F35" s="5">
        <f t="shared" ref="F35:K35" si="1">F21/$F21</f>
        <v>1</v>
      </c>
      <c r="G35" s="5">
        <f t="shared" si="1"/>
        <v>0</v>
      </c>
      <c r="H35" s="5">
        <f t="shared" si="1"/>
        <v>-0.16666666666666666</v>
      </c>
      <c r="I35" s="5">
        <f t="shared" si="1"/>
        <v>0</v>
      </c>
      <c r="J35" s="5">
        <f t="shared" si="1"/>
        <v>0.16666666666666666</v>
      </c>
      <c r="K35" s="5">
        <f t="shared" si="1"/>
        <v>3.3333333333333335</v>
      </c>
      <c r="M35" t="s">
        <v>42</v>
      </c>
      <c r="O35">
        <f>K35/E35</f>
        <v>20.000000000000004</v>
      </c>
    </row>
    <row r="36" spans="1:15">
      <c r="B36" s="7"/>
      <c r="C36" s="7"/>
      <c r="D36" s="7" t="s">
        <v>22</v>
      </c>
      <c r="E36" s="5">
        <f>SUMPRODUCT($D34:$D35,E34:E35)</f>
        <v>1.3333333333333333</v>
      </c>
      <c r="F36" s="5">
        <f t="shared" ref="F36:K36" si="2">SUMPRODUCT($D34:$D35,F34:F35)</f>
        <v>8</v>
      </c>
      <c r="G36" s="5">
        <f t="shared" si="2"/>
        <v>0</v>
      </c>
      <c r="H36" s="5">
        <f t="shared" si="2"/>
        <v>-1.3333333333333333</v>
      </c>
      <c r="I36" s="5">
        <f t="shared" si="2"/>
        <v>0</v>
      </c>
      <c r="J36" s="5">
        <f t="shared" si="2"/>
        <v>1.3333333333333333</v>
      </c>
      <c r="K36" s="5">
        <f t="shared" si="2"/>
        <v>26.666666666666668</v>
      </c>
    </row>
    <row r="37" spans="1:15">
      <c r="D37" s="2" t="s">
        <v>23</v>
      </c>
      <c r="E37" s="8">
        <f>3-E36</f>
        <v>1.6666666666666667</v>
      </c>
      <c r="F37" s="5">
        <f>8-F36</f>
        <v>0</v>
      </c>
      <c r="G37" s="5">
        <f>-1-G36</f>
        <v>-1</v>
      </c>
      <c r="H37" s="5">
        <f>-1-H36</f>
        <v>0.33333333333333326</v>
      </c>
      <c r="I37" s="5">
        <f>0-I36</f>
        <v>0</v>
      </c>
      <c r="J37" s="5">
        <f>0-J36</f>
        <v>-1.3333333333333333</v>
      </c>
      <c r="K37" s="5"/>
    </row>
    <row r="39" spans="1:15">
      <c r="D39" t="s">
        <v>0</v>
      </c>
      <c r="E39">
        <v>0</v>
      </c>
    </row>
    <row r="40" spans="1:15">
      <c r="D40" t="s">
        <v>1</v>
      </c>
      <c r="E40">
        <v>3.33</v>
      </c>
    </row>
    <row r="41" spans="1:15">
      <c r="D41" t="s">
        <v>14</v>
      </c>
      <c r="E41">
        <v>0</v>
      </c>
    </row>
    <row r="42" spans="1:15">
      <c r="D42" t="s">
        <v>15</v>
      </c>
      <c r="E42">
        <v>0</v>
      </c>
    </row>
    <row r="43" spans="1:15">
      <c r="D43" t="s">
        <v>17</v>
      </c>
      <c r="E43">
        <v>3.33</v>
      </c>
    </row>
    <row r="44" spans="1:15">
      <c r="D44" t="s">
        <v>18</v>
      </c>
      <c r="E44">
        <v>0</v>
      </c>
    </row>
    <row r="46" spans="1:15">
      <c r="A46" s="1" t="s">
        <v>28</v>
      </c>
    </row>
    <row r="47" spans="1:15">
      <c r="B47" s="4" t="s">
        <v>13</v>
      </c>
      <c r="E47" s="4" t="s">
        <v>0</v>
      </c>
      <c r="F47" s="4" t="s">
        <v>1</v>
      </c>
      <c r="G47" s="4" t="s">
        <v>14</v>
      </c>
      <c r="H47" s="4" t="s">
        <v>15</v>
      </c>
      <c r="I47" s="4" t="s">
        <v>17</v>
      </c>
      <c r="J47" s="4" t="s">
        <v>18</v>
      </c>
      <c r="K47" s="4" t="s">
        <v>2</v>
      </c>
    </row>
    <row r="48" spans="1:15">
      <c r="B48" s="9" t="s">
        <v>0</v>
      </c>
      <c r="C48" s="7" t="s">
        <v>5</v>
      </c>
      <c r="D48" s="5">
        <v>3</v>
      </c>
      <c r="E48" s="5">
        <f>E34/$E34</f>
        <v>1</v>
      </c>
      <c r="F48" s="5">
        <f t="shared" ref="F48:K48" si="3">F34/$E34</f>
        <v>0</v>
      </c>
      <c r="G48" s="5">
        <f t="shared" si="3"/>
        <v>-0.6</v>
      </c>
      <c r="H48" s="5">
        <f t="shared" si="3"/>
        <v>0.19999999999999998</v>
      </c>
      <c r="I48" s="5">
        <f t="shared" si="3"/>
        <v>0.6</v>
      </c>
      <c r="J48" s="5">
        <f t="shared" si="3"/>
        <v>-0.19999999999999998</v>
      </c>
      <c r="K48" s="5">
        <f t="shared" si="3"/>
        <v>1.9999999999999998</v>
      </c>
      <c r="M48" t="s">
        <v>43</v>
      </c>
    </row>
    <row r="49" spans="1:13">
      <c r="B49" s="9" t="s">
        <v>1</v>
      </c>
      <c r="C49" s="7" t="s">
        <v>6</v>
      </c>
      <c r="D49" s="5">
        <v>8</v>
      </c>
      <c r="E49" s="5">
        <f>-E48*$E35+E35</f>
        <v>0</v>
      </c>
      <c r="F49" s="5">
        <f t="shared" ref="F49:K49" si="4">-F48*$E35+F35</f>
        <v>1</v>
      </c>
      <c r="G49" s="5">
        <f t="shared" si="4"/>
        <v>9.9999999999999992E-2</v>
      </c>
      <c r="H49" s="5">
        <f t="shared" si="4"/>
        <v>-0.19999999999999998</v>
      </c>
      <c r="I49" s="5">
        <f t="shared" si="4"/>
        <v>-9.9999999999999992E-2</v>
      </c>
      <c r="J49" s="5">
        <f t="shared" si="4"/>
        <v>0.19999999999999998</v>
      </c>
      <c r="K49" s="5">
        <f t="shared" si="4"/>
        <v>3</v>
      </c>
      <c r="M49" t="s">
        <v>44</v>
      </c>
    </row>
    <row r="50" spans="1:13">
      <c r="B50" s="7"/>
      <c r="C50" s="7"/>
      <c r="D50" s="7" t="s">
        <v>22</v>
      </c>
      <c r="E50" s="5">
        <f>SUMPRODUCT($D48:$D49,E48:E49)</f>
        <v>3</v>
      </c>
      <c r="F50" s="5">
        <f t="shared" ref="F50:K50" si="5">SUMPRODUCT($D48:$D49,F48:F49)</f>
        <v>8</v>
      </c>
      <c r="G50" s="5">
        <f t="shared" si="5"/>
        <v>-0.99999999999999989</v>
      </c>
      <c r="H50" s="5">
        <f t="shared" si="5"/>
        <v>-0.99999999999999989</v>
      </c>
      <c r="I50" s="5">
        <f t="shared" si="5"/>
        <v>0.99999999999999989</v>
      </c>
      <c r="J50" s="5">
        <f t="shared" si="5"/>
        <v>0.99999999999999989</v>
      </c>
      <c r="K50" s="5">
        <f t="shared" si="5"/>
        <v>30</v>
      </c>
    </row>
    <row r="51" spans="1:13">
      <c r="D51" s="2" t="s">
        <v>23</v>
      </c>
      <c r="E51" s="5">
        <f>3-E50</f>
        <v>0</v>
      </c>
      <c r="F51" s="5">
        <f>8-F50</f>
        <v>0</v>
      </c>
      <c r="G51" s="5">
        <f>-1-G50</f>
        <v>0</v>
      </c>
      <c r="H51" s="5">
        <f>-1-H50</f>
        <v>0</v>
      </c>
      <c r="I51" s="5">
        <f>0-I50</f>
        <v>-0.99999999999999989</v>
      </c>
      <c r="J51" s="5">
        <f>0-J50</f>
        <v>-0.99999999999999989</v>
      </c>
      <c r="K51" s="5"/>
    </row>
    <row r="53" spans="1:13">
      <c r="D53" t="s">
        <v>0</v>
      </c>
      <c r="E53">
        <v>2</v>
      </c>
    </row>
    <row r="54" spans="1:13">
      <c r="D54" t="s">
        <v>1</v>
      </c>
      <c r="E54">
        <v>3</v>
      </c>
    </row>
    <row r="55" spans="1:13">
      <c r="D55" t="s">
        <v>14</v>
      </c>
      <c r="E55">
        <v>0</v>
      </c>
    </row>
    <row r="56" spans="1:13">
      <c r="D56" t="s">
        <v>15</v>
      </c>
      <c r="E56">
        <v>0</v>
      </c>
    </row>
    <row r="57" spans="1:13">
      <c r="D57" t="s">
        <v>17</v>
      </c>
      <c r="E57">
        <v>0</v>
      </c>
    </row>
    <row r="58" spans="1:13">
      <c r="D58" t="s">
        <v>18</v>
      </c>
      <c r="E58">
        <v>0</v>
      </c>
    </row>
    <row r="61" spans="1:13">
      <c r="A61" s="1" t="s">
        <v>37</v>
      </c>
    </row>
    <row r="63" spans="1:13">
      <c r="A63" s="1" t="s">
        <v>12</v>
      </c>
    </row>
    <row r="64" spans="1:13">
      <c r="B64" s="4" t="s">
        <v>13</v>
      </c>
      <c r="E64" s="4" t="s">
        <v>0</v>
      </c>
      <c r="F64" s="4" t="s">
        <v>1</v>
      </c>
      <c r="G64" s="4" t="s">
        <v>14</v>
      </c>
      <c r="H64" s="4" t="s">
        <v>15</v>
      </c>
      <c r="I64" s="4" t="s">
        <v>2</v>
      </c>
      <c r="K64" s="4" t="s">
        <v>20</v>
      </c>
    </row>
    <row r="65" spans="1:11">
      <c r="B65" s="9" t="s">
        <v>0</v>
      </c>
      <c r="C65" s="7" t="s">
        <v>5</v>
      </c>
      <c r="D65" s="5">
        <v>4</v>
      </c>
      <c r="E65" s="5">
        <v>1</v>
      </c>
      <c r="F65" s="5">
        <v>0</v>
      </c>
      <c r="G65" s="5">
        <v>-0.6</v>
      </c>
      <c r="H65" s="8">
        <v>0.2</v>
      </c>
      <c r="I65" s="5">
        <v>2</v>
      </c>
      <c r="K65">
        <f>I65/H65</f>
        <v>10</v>
      </c>
    </row>
    <row r="66" spans="1:11">
      <c r="B66" s="9" t="s">
        <v>1</v>
      </c>
      <c r="C66" s="7" t="s">
        <v>6</v>
      </c>
      <c r="D66" s="5">
        <v>1</v>
      </c>
      <c r="E66" s="5">
        <v>0</v>
      </c>
      <c r="F66" s="5">
        <v>1</v>
      </c>
      <c r="G66" s="10">
        <v>0.1</v>
      </c>
      <c r="H66" s="5">
        <v>-0.2</v>
      </c>
      <c r="I66" s="5">
        <v>3</v>
      </c>
    </row>
    <row r="67" spans="1:11">
      <c r="B67" s="7"/>
      <c r="C67" s="7"/>
      <c r="D67" s="7" t="s">
        <v>22</v>
      </c>
      <c r="E67" s="5">
        <v>4</v>
      </c>
      <c r="F67" s="5">
        <v>1</v>
      </c>
      <c r="G67" s="10">
        <f>D65*G65+D66*G66</f>
        <v>-2.2999999999999998</v>
      </c>
      <c r="H67" s="5">
        <f>D65*H65+D66*H66</f>
        <v>0.60000000000000009</v>
      </c>
      <c r="I67" s="5"/>
    </row>
    <row r="68" spans="1:11">
      <c r="D68" s="7" t="s">
        <v>38</v>
      </c>
      <c r="E68" s="5">
        <f>E67-4</f>
        <v>0</v>
      </c>
      <c r="F68" s="5">
        <f>F67-1</f>
        <v>0</v>
      </c>
      <c r="G68" s="10">
        <f>G67-0</f>
        <v>-2.2999999999999998</v>
      </c>
      <c r="H68" s="8">
        <f>H67-0</f>
        <v>0.60000000000000009</v>
      </c>
      <c r="I68" s="5"/>
    </row>
    <row r="70" spans="1:11">
      <c r="D70" t="s">
        <v>0</v>
      </c>
      <c r="E70">
        <v>2</v>
      </c>
    </row>
    <row r="71" spans="1:11">
      <c r="D71" t="s">
        <v>1</v>
      </c>
      <c r="E71">
        <v>3</v>
      </c>
    </row>
    <row r="72" spans="1:11">
      <c r="D72" t="s">
        <v>14</v>
      </c>
      <c r="E72">
        <v>0</v>
      </c>
    </row>
    <row r="73" spans="1:11">
      <c r="D73" t="s">
        <v>15</v>
      </c>
      <c r="E73">
        <v>0</v>
      </c>
    </row>
    <row r="75" spans="1:11">
      <c r="A75" s="1" t="s">
        <v>24</v>
      </c>
    </row>
    <row r="76" spans="1:11">
      <c r="B76" s="4" t="s">
        <v>13</v>
      </c>
      <c r="E76" s="4" t="s">
        <v>0</v>
      </c>
      <c r="F76" s="4" t="s">
        <v>1</v>
      </c>
      <c r="G76" s="4" t="s">
        <v>14</v>
      </c>
      <c r="H76" s="4" t="s">
        <v>15</v>
      </c>
      <c r="I76" s="4" t="s">
        <v>2</v>
      </c>
      <c r="K76" s="4"/>
    </row>
    <row r="77" spans="1:11">
      <c r="B77" s="9" t="s">
        <v>15</v>
      </c>
      <c r="C77" s="7" t="s">
        <v>5</v>
      </c>
      <c r="D77" s="5">
        <v>0</v>
      </c>
      <c r="E77" s="5">
        <f>E65/0.2</f>
        <v>5</v>
      </c>
      <c r="F77" s="5">
        <f t="shared" ref="F77:I77" si="6">F65/0.2</f>
        <v>0</v>
      </c>
      <c r="G77" s="5">
        <f t="shared" si="6"/>
        <v>-2.9999999999999996</v>
      </c>
      <c r="H77" s="5">
        <f t="shared" si="6"/>
        <v>1</v>
      </c>
      <c r="I77" s="5">
        <f t="shared" si="6"/>
        <v>10</v>
      </c>
      <c r="K77" t="s">
        <v>45</v>
      </c>
    </row>
    <row r="78" spans="1:11">
      <c r="B78" s="9" t="s">
        <v>1</v>
      </c>
      <c r="C78" s="7" t="s">
        <v>6</v>
      </c>
      <c r="D78" s="5">
        <v>1</v>
      </c>
      <c r="E78" s="5">
        <f>E65+E66</f>
        <v>1</v>
      </c>
      <c r="F78" s="5">
        <f t="shared" ref="F78:I78" si="7">F65+F66</f>
        <v>1</v>
      </c>
      <c r="G78" s="5">
        <f t="shared" si="7"/>
        <v>-0.5</v>
      </c>
      <c r="H78" s="5">
        <f t="shared" si="7"/>
        <v>0</v>
      </c>
      <c r="I78" s="5">
        <f t="shared" si="7"/>
        <v>5</v>
      </c>
      <c r="K78" t="s">
        <v>46</v>
      </c>
    </row>
    <row r="79" spans="1:11">
      <c r="B79" s="7"/>
      <c r="C79" s="7"/>
      <c r="D79" s="7" t="s">
        <v>22</v>
      </c>
      <c r="E79" s="5">
        <f>D77*E77+D78*E78</f>
        <v>1</v>
      </c>
      <c r="F79" s="5">
        <f>D77*F77+D78*F78</f>
        <v>1</v>
      </c>
      <c r="G79" s="5">
        <f>D77*G77+D78*G78</f>
        <v>-0.5</v>
      </c>
      <c r="H79" s="5">
        <f>D77*H77+D78*H78</f>
        <v>0</v>
      </c>
      <c r="I79" s="5">
        <f>D77*I77+D78*I78</f>
        <v>5</v>
      </c>
    </row>
    <row r="80" spans="1:11">
      <c r="D80" s="7" t="s">
        <v>38</v>
      </c>
      <c r="E80" s="5">
        <f>E79-4</f>
        <v>-3</v>
      </c>
      <c r="F80" s="5">
        <f>F79-1</f>
        <v>0</v>
      </c>
      <c r="G80" s="5">
        <f>G79-0</f>
        <v>-0.5</v>
      </c>
      <c r="H80" s="5">
        <f>H79-0</f>
        <v>0</v>
      </c>
      <c r="I80" s="5"/>
    </row>
    <row r="82" spans="4:5">
      <c r="D82" t="s">
        <v>0</v>
      </c>
      <c r="E82">
        <v>0</v>
      </c>
    </row>
    <row r="83" spans="4:5">
      <c r="D83" t="s">
        <v>1</v>
      </c>
      <c r="E83">
        <v>5</v>
      </c>
    </row>
    <row r="84" spans="4:5">
      <c r="D84" t="s">
        <v>14</v>
      </c>
      <c r="E84">
        <v>0</v>
      </c>
    </row>
    <row r="85" spans="4:5">
      <c r="D85" t="s">
        <v>15</v>
      </c>
      <c r="E85">
        <v>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5291-EE6E-48B4-AC94-DCBA16921FF8}">
  <dimension ref="A3:P98"/>
  <sheetViews>
    <sheetView topLeftCell="A19" workbookViewId="0">
      <selection activeCell="L67" sqref="L67"/>
    </sheetView>
  </sheetViews>
  <sheetFormatPr defaultRowHeight="14.45"/>
  <cols>
    <col min="1" max="1" width="25.85546875" customWidth="1"/>
    <col min="3" max="4" width="6.140625" customWidth="1"/>
    <col min="5" max="5" width="8" customWidth="1"/>
  </cols>
  <sheetData>
    <row r="3" spans="1:6">
      <c r="B3" s="4" t="s">
        <v>39</v>
      </c>
      <c r="C3" s="4" t="s">
        <v>40</v>
      </c>
      <c r="D3" s="4"/>
      <c r="E3" s="4" t="s">
        <v>2</v>
      </c>
      <c r="F3" s="4"/>
    </row>
    <row r="4" spans="1:6">
      <c r="A4" s="1" t="s">
        <v>3</v>
      </c>
      <c r="B4" s="5">
        <v>1</v>
      </c>
      <c r="C4" s="5">
        <v>1</v>
      </c>
      <c r="D4" s="5">
        <f>SUMPRODUCT(B4:C4,B7:C7)</f>
        <v>10</v>
      </c>
      <c r="E4" s="5">
        <v>10</v>
      </c>
    </row>
    <row r="5" spans="1:6">
      <c r="B5" s="5">
        <v>2</v>
      </c>
      <c r="C5" s="5">
        <v>3</v>
      </c>
      <c r="D5" s="5">
        <f>SUMPRODUCT(B5:C5,B7:C7)</f>
        <v>30</v>
      </c>
      <c r="E5" s="5">
        <v>14</v>
      </c>
    </row>
    <row r="7" spans="1:6">
      <c r="A7" s="1" t="s">
        <v>4</v>
      </c>
      <c r="B7" s="5">
        <v>0</v>
      </c>
      <c r="C7" s="5">
        <v>10</v>
      </c>
    </row>
    <row r="9" spans="1:6">
      <c r="B9" s="4" t="s">
        <v>5</v>
      </c>
      <c r="C9" s="4" t="s">
        <v>6</v>
      </c>
    </row>
    <row r="10" spans="1:6">
      <c r="A10" s="1" t="s">
        <v>7</v>
      </c>
      <c r="B10" s="5">
        <v>2</v>
      </c>
      <c r="C10" s="5">
        <v>1</v>
      </c>
      <c r="E10" s="6" t="s">
        <v>8</v>
      </c>
      <c r="F10" s="5">
        <f>SUMPRODUCT(B7:C7,B10:C10)</f>
        <v>10</v>
      </c>
    </row>
    <row r="13" spans="1:6">
      <c r="B13" s="3" t="s">
        <v>9</v>
      </c>
      <c r="C13">
        <v>3</v>
      </c>
    </row>
    <row r="14" spans="1:6">
      <c r="B14" s="3" t="s">
        <v>10</v>
      </c>
      <c r="C14">
        <v>2</v>
      </c>
    </row>
    <row r="15" spans="1:6">
      <c r="B15" s="3"/>
    </row>
    <row r="16" spans="1:6">
      <c r="A16" s="1" t="s">
        <v>11</v>
      </c>
      <c r="B16" s="3"/>
    </row>
    <row r="18" spans="1:13">
      <c r="A18" s="1" t="s">
        <v>12</v>
      </c>
    </row>
    <row r="19" spans="1:13">
      <c r="B19" s="4" t="s">
        <v>13</v>
      </c>
      <c r="E19" s="4" t="s">
        <v>39</v>
      </c>
      <c r="F19" s="4" t="s">
        <v>40</v>
      </c>
      <c r="G19" s="4" t="s">
        <v>14</v>
      </c>
      <c r="H19" s="4" t="s">
        <v>15</v>
      </c>
      <c r="I19" s="4" t="s">
        <v>17</v>
      </c>
      <c r="J19" s="4" t="s">
        <v>18</v>
      </c>
      <c r="K19" s="4" t="s">
        <v>2</v>
      </c>
      <c r="M19" s="4" t="s">
        <v>20</v>
      </c>
    </row>
    <row r="20" spans="1:13">
      <c r="B20" s="9" t="s">
        <v>17</v>
      </c>
      <c r="C20" s="7" t="s">
        <v>5</v>
      </c>
      <c r="D20" s="5">
        <v>0</v>
      </c>
      <c r="E20" s="5">
        <v>1</v>
      </c>
      <c r="F20" s="5">
        <v>1</v>
      </c>
      <c r="G20" s="5">
        <v>-1</v>
      </c>
      <c r="H20" s="5">
        <v>0</v>
      </c>
      <c r="I20" s="5">
        <v>1</v>
      </c>
      <c r="J20" s="5">
        <v>0</v>
      </c>
      <c r="K20" s="5">
        <v>10</v>
      </c>
      <c r="M20">
        <f>K20/F20</f>
        <v>10</v>
      </c>
    </row>
    <row r="21" spans="1:13">
      <c r="B21" s="9" t="s">
        <v>18</v>
      </c>
      <c r="C21" s="7" t="s">
        <v>6</v>
      </c>
      <c r="D21" s="5">
        <v>0</v>
      </c>
      <c r="E21" s="5">
        <v>2</v>
      </c>
      <c r="F21" s="8">
        <v>3</v>
      </c>
      <c r="G21" s="5">
        <v>0</v>
      </c>
      <c r="H21" s="5">
        <v>-1</v>
      </c>
      <c r="I21" s="5">
        <v>0</v>
      </c>
      <c r="J21" s="5">
        <v>1</v>
      </c>
      <c r="K21" s="5">
        <v>14</v>
      </c>
      <c r="M21">
        <f>K21/F21</f>
        <v>4.666666666666667</v>
      </c>
    </row>
    <row r="22" spans="1:13">
      <c r="B22" s="7"/>
      <c r="C22" s="7"/>
      <c r="D22" s="7" t="s">
        <v>22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3">
      <c r="D23" s="2" t="s">
        <v>23</v>
      </c>
      <c r="E23" s="5">
        <v>3</v>
      </c>
      <c r="F23" s="8">
        <v>4</v>
      </c>
      <c r="G23" s="5">
        <v>-1</v>
      </c>
      <c r="H23" s="5">
        <v>-1</v>
      </c>
      <c r="I23" s="5">
        <v>0</v>
      </c>
      <c r="J23" s="5">
        <v>0</v>
      </c>
      <c r="K23" s="5">
        <f>24-K22</f>
        <v>24</v>
      </c>
    </row>
    <row r="25" spans="1:13">
      <c r="D25" t="s">
        <v>39</v>
      </c>
      <c r="E25">
        <v>0</v>
      </c>
    </row>
    <row r="26" spans="1:13">
      <c r="D26" t="s">
        <v>40</v>
      </c>
      <c r="E26">
        <v>0</v>
      </c>
    </row>
    <row r="27" spans="1:13">
      <c r="D27" t="s">
        <v>14</v>
      </c>
      <c r="E27">
        <v>0</v>
      </c>
    </row>
    <row r="28" spans="1:13">
      <c r="D28" t="s">
        <v>15</v>
      </c>
      <c r="E28">
        <v>0</v>
      </c>
    </row>
    <row r="29" spans="1:13">
      <c r="D29" t="s">
        <v>17</v>
      </c>
      <c r="E29">
        <v>10</v>
      </c>
    </row>
    <row r="30" spans="1:13">
      <c r="D30" t="s">
        <v>18</v>
      </c>
      <c r="E30">
        <v>14</v>
      </c>
    </row>
    <row r="32" spans="1:13">
      <c r="A32" s="1" t="s">
        <v>24</v>
      </c>
    </row>
    <row r="33" spans="1:16">
      <c r="B33" s="4" t="s">
        <v>13</v>
      </c>
      <c r="E33" s="4" t="s">
        <v>39</v>
      </c>
      <c r="F33" s="4" t="s">
        <v>40</v>
      </c>
      <c r="G33" s="4" t="s">
        <v>14</v>
      </c>
      <c r="H33" s="4" t="s">
        <v>15</v>
      </c>
      <c r="I33" s="4" t="s">
        <v>17</v>
      </c>
      <c r="J33" s="4" t="s">
        <v>18</v>
      </c>
      <c r="K33" s="4" t="s">
        <v>2</v>
      </c>
      <c r="O33" t="s">
        <v>20</v>
      </c>
    </row>
    <row r="34" spans="1:16">
      <c r="B34" s="9" t="s">
        <v>17</v>
      </c>
      <c r="C34" s="7" t="s">
        <v>5</v>
      </c>
      <c r="D34" s="5">
        <v>0</v>
      </c>
      <c r="E34" s="5">
        <f>-E35+E20</f>
        <v>0.33333333333333337</v>
      </c>
      <c r="F34" s="5">
        <f t="shared" ref="F34:K34" si="0">-F35+F20</f>
        <v>0</v>
      </c>
      <c r="G34" s="5">
        <f t="shared" si="0"/>
        <v>-1</v>
      </c>
      <c r="H34" s="5">
        <f t="shared" si="0"/>
        <v>0.33333333333333331</v>
      </c>
      <c r="I34" s="5">
        <f t="shared" si="0"/>
        <v>1</v>
      </c>
      <c r="J34" s="5">
        <f t="shared" si="0"/>
        <v>-0.33333333333333331</v>
      </c>
      <c r="K34" s="5">
        <f t="shared" si="0"/>
        <v>5.333333333333333</v>
      </c>
      <c r="M34" t="s">
        <v>47</v>
      </c>
      <c r="O34">
        <f>K34/E34</f>
        <v>15.999999999999996</v>
      </c>
    </row>
    <row r="35" spans="1:16">
      <c r="B35" s="9" t="s">
        <v>40</v>
      </c>
      <c r="C35" s="7" t="s">
        <v>6</v>
      </c>
      <c r="D35" s="5">
        <v>4</v>
      </c>
      <c r="E35" s="8">
        <f>E21/3</f>
        <v>0.66666666666666663</v>
      </c>
      <c r="F35" s="5">
        <f t="shared" ref="F35:K35" si="1">F21/3</f>
        <v>1</v>
      </c>
      <c r="G35" s="5">
        <f t="shared" si="1"/>
        <v>0</v>
      </c>
      <c r="H35" s="5">
        <f t="shared" si="1"/>
        <v>-0.33333333333333331</v>
      </c>
      <c r="I35" s="5">
        <f t="shared" si="1"/>
        <v>0</v>
      </c>
      <c r="J35" s="5">
        <f t="shared" si="1"/>
        <v>0.33333333333333331</v>
      </c>
      <c r="K35" s="5">
        <f t="shared" si="1"/>
        <v>4.666666666666667</v>
      </c>
      <c r="M35" t="s">
        <v>48</v>
      </c>
      <c r="O35">
        <f>K35/E35</f>
        <v>7.0000000000000009</v>
      </c>
    </row>
    <row r="36" spans="1:16">
      <c r="B36" s="7"/>
      <c r="C36" s="7"/>
      <c r="D36" s="7" t="s">
        <v>22</v>
      </c>
      <c r="E36" s="5">
        <f>D34*E34+D35*E35</f>
        <v>2.6666666666666665</v>
      </c>
      <c r="F36" s="5">
        <f>D34*F34+D35*F35</f>
        <v>4</v>
      </c>
      <c r="G36" s="5">
        <f>D34*G34+D35*G35</f>
        <v>0</v>
      </c>
      <c r="H36" s="5">
        <f>D34*H34+D35*H35</f>
        <v>-1.3333333333333333</v>
      </c>
      <c r="I36" s="5">
        <f>D34*I34+D35*I35</f>
        <v>0</v>
      </c>
      <c r="J36" s="5">
        <f>D34*J34+D35*J35</f>
        <v>1.3333333333333333</v>
      </c>
      <c r="K36" s="5">
        <f>D34*K34+D35*K35</f>
        <v>18.666666666666668</v>
      </c>
    </row>
    <row r="37" spans="1:16">
      <c r="D37" s="2" t="s">
        <v>23</v>
      </c>
      <c r="E37" s="8">
        <f>3-E36</f>
        <v>0.33333333333333348</v>
      </c>
      <c r="F37" s="5">
        <f>4-F36</f>
        <v>0</v>
      </c>
      <c r="G37" s="5">
        <f>-1-G36</f>
        <v>-1</v>
      </c>
      <c r="H37" s="5">
        <f>-1-H36</f>
        <v>0.33333333333333326</v>
      </c>
      <c r="I37" s="5">
        <f>0-I36</f>
        <v>0</v>
      </c>
      <c r="J37" s="5">
        <f>0-J36</f>
        <v>-1.3333333333333333</v>
      </c>
      <c r="K37" s="5">
        <f>24-K36</f>
        <v>5.3333333333333321</v>
      </c>
    </row>
    <row r="39" spans="1:16">
      <c r="D39" t="s">
        <v>39</v>
      </c>
      <c r="E39">
        <v>0</v>
      </c>
    </row>
    <row r="40" spans="1:16">
      <c r="D40" t="s">
        <v>40</v>
      </c>
      <c r="E40">
        <v>4.67</v>
      </c>
    </row>
    <row r="41" spans="1:16">
      <c r="D41" t="s">
        <v>14</v>
      </c>
      <c r="E41">
        <v>0</v>
      </c>
    </row>
    <row r="42" spans="1:16">
      <c r="D42" t="s">
        <v>15</v>
      </c>
      <c r="E42">
        <v>0</v>
      </c>
    </row>
    <row r="43" spans="1:16">
      <c r="D43" t="s">
        <v>17</v>
      </c>
      <c r="E43">
        <v>5.33</v>
      </c>
    </row>
    <row r="44" spans="1:16">
      <c r="D44" t="s">
        <v>18</v>
      </c>
      <c r="E44">
        <v>0</v>
      </c>
    </row>
    <row r="46" spans="1:16">
      <c r="A46" s="1" t="s">
        <v>28</v>
      </c>
    </row>
    <row r="47" spans="1:16">
      <c r="B47" s="4" t="s">
        <v>13</v>
      </c>
      <c r="E47" s="4" t="s">
        <v>39</v>
      </c>
      <c r="F47" s="4" t="s">
        <v>40</v>
      </c>
      <c r="G47" s="4" t="s">
        <v>14</v>
      </c>
      <c r="H47" s="4" t="s">
        <v>15</v>
      </c>
      <c r="I47" s="4" t="s">
        <v>17</v>
      </c>
      <c r="J47" s="4" t="s">
        <v>18</v>
      </c>
      <c r="K47" s="4" t="s">
        <v>2</v>
      </c>
      <c r="P47" t="s">
        <v>20</v>
      </c>
    </row>
    <row r="48" spans="1:16">
      <c r="B48" s="9" t="s">
        <v>17</v>
      </c>
      <c r="C48" s="7" t="s">
        <v>5</v>
      </c>
      <c r="D48" s="5">
        <v>0</v>
      </c>
      <c r="E48" s="5">
        <f t="shared" ref="E48:K48" si="2">-E49*$E34+E34</f>
        <v>0</v>
      </c>
      <c r="F48" s="5">
        <f t="shared" si="2"/>
        <v>-0.5</v>
      </c>
      <c r="G48" s="5">
        <f t="shared" si="2"/>
        <v>-1</v>
      </c>
      <c r="H48" s="8">
        <f t="shared" si="2"/>
        <v>0.5</v>
      </c>
      <c r="I48" s="5">
        <f t="shared" si="2"/>
        <v>1</v>
      </c>
      <c r="J48" s="5">
        <f t="shared" si="2"/>
        <v>-0.5</v>
      </c>
      <c r="K48" s="5">
        <f t="shared" si="2"/>
        <v>2.9999999999999991</v>
      </c>
      <c r="M48" t="s">
        <v>49</v>
      </c>
      <c r="P48">
        <f>K48/H48</f>
        <v>5.9999999999999982</v>
      </c>
    </row>
    <row r="49" spans="1:16">
      <c r="B49" s="9" t="s">
        <v>39</v>
      </c>
      <c r="C49" s="7" t="s">
        <v>6</v>
      </c>
      <c r="D49" s="5">
        <v>3</v>
      </c>
      <c r="E49" s="5">
        <f>E35/$E35</f>
        <v>1</v>
      </c>
      <c r="F49" s="5">
        <f t="shared" ref="F49:K49" si="3">F35/$E35</f>
        <v>1.5</v>
      </c>
      <c r="G49" s="5">
        <f t="shared" si="3"/>
        <v>0</v>
      </c>
      <c r="H49" s="5">
        <f t="shared" si="3"/>
        <v>-0.5</v>
      </c>
      <c r="I49" s="5">
        <f t="shared" si="3"/>
        <v>0</v>
      </c>
      <c r="J49" s="5">
        <f t="shared" si="3"/>
        <v>0.5</v>
      </c>
      <c r="K49" s="5">
        <f t="shared" si="3"/>
        <v>7.0000000000000009</v>
      </c>
      <c r="M49" t="s">
        <v>50</v>
      </c>
      <c r="P49">
        <f>K49/H49</f>
        <v>-14.000000000000002</v>
      </c>
    </row>
    <row r="50" spans="1:16">
      <c r="B50" s="7"/>
      <c r="C50" s="7"/>
      <c r="D50" s="7" t="s">
        <v>22</v>
      </c>
      <c r="E50" s="5">
        <f>D48*E48+D49*E49</f>
        <v>3</v>
      </c>
      <c r="F50" s="5">
        <f>D48*F48+D49*F49</f>
        <v>4.5</v>
      </c>
      <c r="G50" s="5">
        <f>D48*G48+D49*G49</f>
        <v>0</v>
      </c>
      <c r="H50" s="5">
        <f>D48*H48+D49*H49</f>
        <v>-1.5</v>
      </c>
      <c r="I50" s="5">
        <f>D48*I48+D49*I49</f>
        <v>0</v>
      </c>
      <c r="J50" s="5">
        <f>D48*J48+D49*J49</f>
        <v>1.5</v>
      </c>
      <c r="K50" s="5">
        <f>D48*K48+D49*K49</f>
        <v>21.000000000000004</v>
      </c>
    </row>
    <row r="51" spans="1:16">
      <c r="D51" s="2" t="s">
        <v>23</v>
      </c>
      <c r="E51" s="5">
        <f>3-E50</f>
        <v>0</v>
      </c>
      <c r="F51" s="5">
        <f>4-F50</f>
        <v>-0.5</v>
      </c>
      <c r="G51" s="5">
        <f>-1-G50</f>
        <v>-1</v>
      </c>
      <c r="H51" s="8">
        <f>-1-H50</f>
        <v>0.5</v>
      </c>
      <c r="I51" s="5">
        <f>0-I50</f>
        <v>0</v>
      </c>
      <c r="J51" s="5">
        <f>0-J50</f>
        <v>-1.5</v>
      </c>
      <c r="K51" s="5">
        <f>24-K50</f>
        <v>2.9999999999999964</v>
      </c>
    </row>
    <row r="53" spans="1:16">
      <c r="D53" t="s">
        <v>39</v>
      </c>
      <c r="E53">
        <v>7</v>
      </c>
    </row>
    <row r="54" spans="1:16">
      <c r="D54" t="s">
        <v>40</v>
      </c>
      <c r="E54">
        <v>0</v>
      </c>
    </row>
    <row r="55" spans="1:16">
      <c r="D55" t="s">
        <v>14</v>
      </c>
      <c r="E55">
        <v>0</v>
      </c>
    </row>
    <row r="56" spans="1:16">
      <c r="D56" t="s">
        <v>15</v>
      </c>
      <c r="E56">
        <v>0</v>
      </c>
    </row>
    <row r="57" spans="1:16">
      <c r="D57" t="s">
        <v>17</v>
      </c>
      <c r="E57">
        <v>3</v>
      </c>
    </row>
    <row r="58" spans="1:16">
      <c r="D58" t="s">
        <v>18</v>
      </c>
      <c r="E58">
        <v>0</v>
      </c>
    </row>
    <row r="60" spans="1:16">
      <c r="A60" s="1" t="s">
        <v>33</v>
      </c>
    </row>
    <row r="61" spans="1:16">
      <c r="B61" s="4" t="s">
        <v>13</v>
      </c>
      <c r="E61" s="4" t="s">
        <v>39</v>
      </c>
      <c r="F61" s="4" t="s">
        <v>40</v>
      </c>
      <c r="G61" s="4" t="s">
        <v>14</v>
      </c>
      <c r="H61" s="4" t="s">
        <v>15</v>
      </c>
      <c r="I61" s="4" t="s">
        <v>17</v>
      </c>
      <c r="J61" s="4" t="s">
        <v>18</v>
      </c>
      <c r="K61" s="4" t="s">
        <v>2</v>
      </c>
    </row>
    <row r="62" spans="1:16">
      <c r="B62" s="9" t="s">
        <v>15</v>
      </c>
      <c r="C62" s="7" t="s">
        <v>5</v>
      </c>
      <c r="D62" s="5">
        <v>-1</v>
      </c>
      <c r="E62" s="5">
        <f>E48*2</f>
        <v>0</v>
      </c>
      <c r="F62" s="5">
        <f t="shared" ref="F62:K62" si="4">F48*2</f>
        <v>-1</v>
      </c>
      <c r="G62" s="5">
        <f t="shared" si="4"/>
        <v>-2</v>
      </c>
      <c r="H62" s="5">
        <f t="shared" si="4"/>
        <v>1</v>
      </c>
      <c r="I62" s="5">
        <f t="shared" si="4"/>
        <v>2</v>
      </c>
      <c r="J62" s="5">
        <f t="shared" si="4"/>
        <v>-1</v>
      </c>
      <c r="K62" s="5">
        <f t="shared" si="4"/>
        <v>5.9999999999999982</v>
      </c>
      <c r="M62" t="s">
        <v>51</v>
      </c>
    </row>
    <row r="63" spans="1:16">
      <c r="B63" s="9" t="s">
        <v>39</v>
      </c>
      <c r="C63" s="7" t="s">
        <v>6</v>
      </c>
      <c r="D63" s="5">
        <v>3</v>
      </c>
      <c r="E63" s="5">
        <f>E48+E49</f>
        <v>1</v>
      </c>
      <c r="F63" s="5">
        <f t="shared" ref="F63:K63" si="5">F48+F49</f>
        <v>1</v>
      </c>
      <c r="G63" s="5">
        <f t="shared" si="5"/>
        <v>-1</v>
      </c>
      <c r="H63" s="5">
        <f t="shared" si="5"/>
        <v>0</v>
      </c>
      <c r="I63" s="5">
        <f t="shared" si="5"/>
        <v>1</v>
      </c>
      <c r="J63" s="5">
        <f t="shared" si="5"/>
        <v>0</v>
      </c>
      <c r="K63" s="5">
        <f t="shared" si="5"/>
        <v>10</v>
      </c>
      <c r="M63" t="s">
        <v>52</v>
      </c>
    </row>
    <row r="64" spans="1:16">
      <c r="B64" s="7"/>
      <c r="C64" s="7"/>
      <c r="D64" s="7" t="s">
        <v>22</v>
      </c>
      <c r="E64" s="5">
        <f>D62*E62+D63*E63</f>
        <v>3</v>
      </c>
      <c r="F64" s="5">
        <f>D62*F62+D63*F63</f>
        <v>4</v>
      </c>
      <c r="G64" s="5">
        <f>D62*G62+D63*G63</f>
        <v>-1</v>
      </c>
      <c r="H64" s="5">
        <f>D62*H62+D63*H63</f>
        <v>-1</v>
      </c>
      <c r="I64" s="5">
        <f>D62*I62+D63*I63</f>
        <v>1</v>
      </c>
      <c r="J64" s="5">
        <f>D62*J62+D63*J63</f>
        <v>1</v>
      </c>
      <c r="K64" s="5">
        <f>D62*K62+D63*K63</f>
        <v>24</v>
      </c>
    </row>
    <row r="65" spans="1:11">
      <c r="D65" s="2" t="s">
        <v>23</v>
      </c>
      <c r="E65" s="5">
        <f>3-E64</f>
        <v>0</v>
      </c>
      <c r="F65" s="5">
        <f>4-F64</f>
        <v>0</v>
      </c>
      <c r="G65" s="5">
        <f>-1-G64</f>
        <v>0</v>
      </c>
      <c r="H65" s="5">
        <f>-1-H64</f>
        <v>0</v>
      </c>
      <c r="I65" s="5">
        <f>0-I64</f>
        <v>-1</v>
      </c>
      <c r="J65" s="5">
        <f>0-J64</f>
        <v>-1</v>
      </c>
      <c r="K65" s="8">
        <f>24-K64</f>
        <v>0</v>
      </c>
    </row>
    <row r="67" spans="1:11">
      <c r="D67" t="s">
        <v>39</v>
      </c>
      <c r="E67">
        <v>10</v>
      </c>
    </row>
    <row r="68" spans="1:11">
      <c r="D68" t="s">
        <v>40</v>
      </c>
      <c r="E68">
        <v>0</v>
      </c>
    </row>
    <row r="69" spans="1:11">
      <c r="D69" t="s">
        <v>14</v>
      </c>
      <c r="E69">
        <v>0</v>
      </c>
    </row>
    <row r="70" spans="1:11">
      <c r="D70" t="s">
        <v>15</v>
      </c>
      <c r="E70">
        <v>6</v>
      </c>
    </row>
    <row r="71" spans="1:11">
      <c r="D71" t="s">
        <v>17</v>
      </c>
      <c r="E71">
        <v>0</v>
      </c>
    </row>
    <row r="72" spans="1:11">
      <c r="D72" t="s">
        <v>18</v>
      </c>
      <c r="E72">
        <v>0</v>
      </c>
    </row>
    <row r="74" spans="1:11">
      <c r="A74" s="1" t="s">
        <v>37</v>
      </c>
    </row>
    <row r="76" spans="1:11">
      <c r="A76" s="1" t="s">
        <v>12</v>
      </c>
    </row>
    <row r="77" spans="1:11">
      <c r="B77" s="4" t="s">
        <v>13</v>
      </c>
      <c r="E77" s="4" t="s">
        <v>39</v>
      </c>
      <c r="F77" s="4" t="s">
        <v>40</v>
      </c>
      <c r="G77" s="4" t="s">
        <v>14</v>
      </c>
      <c r="H77" s="4" t="s">
        <v>15</v>
      </c>
      <c r="I77" s="4" t="s">
        <v>2</v>
      </c>
      <c r="K77" s="4" t="s">
        <v>20</v>
      </c>
    </row>
    <row r="78" spans="1:11">
      <c r="B78" s="9" t="s">
        <v>15</v>
      </c>
      <c r="C78" s="7" t="s">
        <v>5</v>
      </c>
      <c r="D78" s="5">
        <v>0</v>
      </c>
      <c r="E78" s="5">
        <v>0</v>
      </c>
      <c r="F78" s="5">
        <v>-1</v>
      </c>
      <c r="G78" s="5">
        <v>-2</v>
      </c>
      <c r="H78" s="5">
        <v>1</v>
      </c>
      <c r="I78" s="5">
        <v>6</v>
      </c>
      <c r="K78" t="s">
        <v>53</v>
      </c>
    </row>
    <row r="79" spans="1:11">
      <c r="B79" s="9" t="s">
        <v>39</v>
      </c>
      <c r="C79" s="7" t="s">
        <v>6</v>
      </c>
      <c r="D79" s="5">
        <v>2</v>
      </c>
      <c r="E79" s="5">
        <v>1</v>
      </c>
      <c r="F79" s="8">
        <v>1</v>
      </c>
      <c r="G79" s="5">
        <v>-1</v>
      </c>
      <c r="H79" s="5">
        <v>0</v>
      </c>
      <c r="I79" s="5">
        <v>10</v>
      </c>
      <c r="K79">
        <f>I79/F79</f>
        <v>10</v>
      </c>
    </row>
    <row r="80" spans="1:11">
      <c r="B80" s="7"/>
      <c r="C80" s="7"/>
      <c r="D80" s="7" t="s">
        <v>22</v>
      </c>
      <c r="E80" s="5">
        <f>D78*E78+D79*E79</f>
        <v>2</v>
      </c>
      <c r="F80" s="5">
        <f>D78*F78+D79*F79</f>
        <v>2</v>
      </c>
      <c r="G80" s="5">
        <f>D78*G78+D79*G79</f>
        <v>-2</v>
      </c>
      <c r="H80" s="5">
        <f>D78*H78+D79*H79</f>
        <v>0</v>
      </c>
      <c r="I80" s="5">
        <f>D78*I78+D79*I79</f>
        <v>20</v>
      </c>
    </row>
    <row r="81" spans="1:11">
      <c r="D81" s="7" t="s">
        <v>38</v>
      </c>
      <c r="E81" s="5">
        <f>E80-2</f>
        <v>0</v>
      </c>
      <c r="F81" s="8">
        <f>F80-1</f>
        <v>1</v>
      </c>
      <c r="G81" s="5">
        <f>G80-0</f>
        <v>-2</v>
      </c>
      <c r="H81" s="5">
        <f>H80-0</f>
        <v>0</v>
      </c>
      <c r="I81" s="5"/>
    </row>
    <row r="83" spans="1:11">
      <c r="D83" t="s">
        <v>39</v>
      </c>
      <c r="E83">
        <v>10</v>
      </c>
    </row>
    <row r="84" spans="1:11">
      <c r="D84" t="s">
        <v>40</v>
      </c>
      <c r="E84">
        <v>0</v>
      </c>
    </row>
    <row r="85" spans="1:11">
      <c r="D85" t="s">
        <v>14</v>
      </c>
      <c r="E85">
        <v>0</v>
      </c>
    </row>
    <row r="86" spans="1:11">
      <c r="D86" t="s">
        <v>15</v>
      </c>
      <c r="E86">
        <v>6</v>
      </c>
    </row>
    <row r="88" spans="1:11">
      <c r="A88" s="1" t="s">
        <v>24</v>
      </c>
    </row>
    <row r="89" spans="1:11">
      <c r="B89" s="4" t="s">
        <v>13</v>
      </c>
      <c r="E89" s="4" t="s">
        <v>39</v>
      </c>
      <c r="F89" s="4" t="s">
        <v>40</v>
      </c>
      <c r="G89" s="4" t="s">
        <v>14</v>
      </c>
      <c r="H89" s="4" t="s">
        <v>15</v>
      </c>
      <c r="I89" s="4" t="s">
        <v>2</v>
      </c>
      <c r="K89" s="4"/>
    </row>
    <row r="90" spans="1:11">
      <c r="B90" s="9" t="s">
        <v>15</v>
      </c>
      <c r="C90" s="7" t="s">
        <v>5</v>
      </c>
      <c r="D90" s="5">
        <v>0</v>
      </c>
      <c r="E90" s="5">
        <f>E78+E91</f>
        <v>1</v>
      </c>
      <c r="F90" s="5">
        <f t="shared" ref="F90:I90" si="6">F78+F91</f>
        <v>0</v>
      </c>
      <c r="G90" s="5">
        <f t="shared" si="6"/>
        <v>-3</v>
      </c>
      <c r="H90" s="5">
        <f t="shared" si="6"/>
        <v>1</v>
      </c>
      <c r="I90" s="5">
        <f t="shared" si="6"/>
        <v>16</v>
      </c>
      <c r="K90" t="s">
        <v>54</v>
      </c>
    </row>
    <row r="91" spans="1:11">
      <c r="B91" s="9" t="s">
        <v>40</v>
      </c>
      <c r="C91" s="7" t="s">
        <v>6</v>
      </c>
      <c r="D91" s="5">
        <v>1</v>
      </c>
      <c r="E91" s="5">
        <f>E79</f>
        <v>1</v>
      </c>
      <c r="F91" s="5">
        <f t="shared" ref="F91:I91" si="7">F79</f>
        <v>1</v>
      </c>
      <c r="G91" s="5">
        <f t="shared" si="7"/>
        <v>-1</v>
      </c>
      <c r="H91" s="5">
        <f t="shared" si="7"/>
        <v>0</v>
      </c>
      <c r="I91" s="5">
        <f t="shared" si="7"/>
        <v>10</v>
      </c>
      <c r="K91" t="s">
        <v>55</v>
      </c>
    </row>
    <row r="92" spans="1:11">
      <c r="B92" s="7"/>
      <c r="C92" s="7"/>
      <c r="D92" s="7" t="s">
        <v>22</v>
      </c>
      <c r="E92" s="5">
        <f>D90*E90+D91*E91</f>
        <v>1</v>
      </c>
      <c r="F92" s="5">
        <f>D90*F90+D91*F91</f>
        <v>1</v>
      </c>
      <c r="G92" s="5">
        <f>D90*G90+D91*G91</f>
        <v>-1</v>
      </c>
      <c r="H92" s="5">
        <f>D90*H90+D91*H91</f>
        <v>0</v>
      </c>
      <c r="I92" s="5">
        <f>D90*I90+D91*I91</f>
        <v>10</v>
      </c>
    </row>
    <row r="93" spans="1:11">
      <c r="D93" s="7" t="s">
        <v>38</v>
      </c>
      <c r="E93" s="5">
        <f>E92-2</f>
        <v>-1</v>
      </c>
      <c r="F93" s="5">
        <f>F92-1</f>
        <v>0</v>
      </c>
      <c r="G93" s="5">
        <f>G92-0</f>
        <v>-1</v>
      </c>
      <c r="H93" s="5">
        <f>H92-0</f>
        <v>0</v>
      </c>
      <c r="I93" s="5"/>
    </row>
    <row r="95" spans="1:11">
      <c r="D95" t="s">
        <v>39</v>
      </c>
      <c r="E95">
        <v>0</v>
      </c>
    </row>
    <row r="96" spans="1:11">
      <c r="D96" t="s">
        <v>40</v>
      </c>
      <c r="E96">
        <v>10</v>
      </c>
    </row>
    <row r="97" spans="4:5">
      <c r="D97" t="s">
        <v>14</v>
      </c>
      <c r="E97">
        <v>0</v>
      </c>
    </row>
    <row r="98" spans="4:5">
      <c r="D98" t="s">
        <v>15</v>
      </c>
      <c r="E98">
        <v>16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D840-D73C-4E1B-8482-F70BBB5C96FD}">
  <dimension ref="A3:P89"/>
  <sheetViews>
    <sheetView workbookViewId="0">
      <selection activeCell="L69" sqref="L69"/>
    </sheetView>
  </sheetViews>
  <sheetFormatPr defaultRowHeight="14.45"/>
  <cols>
    <col min="1" max="1" width="25.85546875" customWidth="1"/>
    <col min="3" max="4" width="6.140625" customWidth="1"/>
    <col min="5" max="5" width="8" customWidth="1"/>
  </cols>
  <sheetData>
    <row r="3" spans="1:7">
      <c r="B3" s="4" t="s">
        <v>39</v>
      </c>
      <c r="C3" s="4" t="s">
        <v>40</v>
      </c>
      <c r="D3" s="4" t="s">
        <v>56</v>
      </c>
      <c r="E3" s="4"/>
      <c r="F3" s="4" t="s">
        <v>2</v>
      </c>
      <c r="G3" s="4"/>
    </row>
    <row r="4" spans="1:7">
      <c r="A4" s="1" t="s">
        <v>3</v>
      </c>
      <c r="B4" s="5">
        <v>8</v>
      </c>
      <c r="C4" s="5">
        <v>4</v>
      </c>
      <c r="D4" s="5">
        <v>4</v>
      </c>
      <c r="E4" s="5">
        <f>SUMPRODUCT(B4:D4,B7:D7)</f>
        <v>16</v>
      </c>
      <c r="F4" s="5">
        <v>16</v>
      </c>
    </row>
    <row r="5" spans="1:7">
      <c r="B5" s="5">
        <v>4</v>
      </c>
      <c r="C5" s="5">
        <v>6</v>
      </c>
      <c r="D5" s="5">
        <v>0</v>
      </c>
      <c r="E5" s="5">
        <f>SUMPRODUCT(B5:D5,B7:D7)</f>
        <v>12</v>
      </c>
      <c r="F5" s="5">
        <v>12</v>
      </c>
    </row>
    <row r="7" spans="1:7">
      <c r="A7" s="1" t="s">
        <v>4</v>
      </c>
      <c r="B7" s="5">
        <v>0</v>
      </c>
      <c r="C7" s="5">
        <v>2</v>
      </c>
      <c r="D7" s="5">
        <v>2</v>
      </c>
    </row>
    <row r="9" spans="1:7">
      <c r="B9" s="4" t="s">
        <v>5</v>
      </c>
      <c r="C9" s="4" t="s">
        <v>6</v>
      </c>
      <c r="D9" s="4" t="s">
        <v>21</v>
      </c>
    </row>
    <row r="10" spans="1:7">
      <c r="A10" s="1" t="s">
        <v>7</v>
      </c>
      <c r="B10" s="5">
        <v>16</v>
      </c>
      <c r="C10" s="5">
        <v>12</v>
      </c>
      <c r="D10" s="5">
        <v>5</v>
      </c>
      <c r="F10" s="6" t="s">
        <v>8</v>
      </c>
      <c r="G10" s="5">
        <f>SUMPRODUCT(B7:D7,B10:D10)</f>
        <v>34</v>
      </c>
    </row>
    <row r="13" spans="1:7">
      <c r="B13" s="3" t="s">
        <v>9</v>
      </c>
      <c r="C13">
        <v>3</v>
      </c>
    </row>
    <row r="14" spans="1:7">
      <c r="B14" s="3" t="s">
        <v>10</v>
      </c>
      <c r="C14">
        <v>2</v>
      </c>
    </row>
    <row r="15" spans="1:7">
      <c r="B15" s="3"/>
    </row>
    <row r="16" spans="1:7">
      <c r="A16" s="1" t="s">
        <v>11</v>
      </c>
      <c r="B16" s="3"/>
    </row>
    <row r="18" spans="1:14">
      <c r="A18" s="1" t="s">
        <v>12</v>
      </c>
    </row>
    <row r="19" spans="1:14">
      <c r="B19" s="4" t="s">
        <v>13</v>
      </c>
      <c r="E19" s="4" t="s">
        <v>39</v>
      </c>
      <c r="F19" s="4" t="s">
        <v>40</v>
      </c>
      <c r="G19" s="4" t="s">
        <v>56</v>
      </c>
      <c r="H19" s="4" t="s">
        <v>14</v>
      </c>
      <c r="I19" s="4" t="s">
        <v>15</v>
      </c>
      <c r="J19" s="4" t="s">
        <v>17</v>
      </c>
      <c r="K19" s="4" t="s">
        <v>18</v>
      </c>
      <c r="L19" s="4" t="s">
        <v>2</v>
      </c>
      <c r="N19" s="4" t="s">
        <v>20</v>
      </c>
    </row>
    <row r="20" spans="1:14">
      <c r="B20" s="9" t="s">
        <v>17</v>
      </c>
      <c r="C20" s="7" t="s">
        <v>5</v>
      </c>
      <c r="D20" s="5">
        <v>0</v>
      </c>
      <c r="E20" s="8">
        <v>8</v>
      </c>
      <c r="F20" s="5">
        <v>4</v>
      </c>
      <c r="G20" s="5">
        <v>4</v>
      </c>
      <c r="H20" s="5">
        <v>-1</v>
      </c>
      <c r="I20" s="5">
        <v>0</v>
      </c>
      <c r="J20" s="5">
        <v>1</v>
      </c>
      <c r="K20" s="5">
        <v>0</v>
      </c>
      <c r="L20" s="5">
        <v>16</v>
      </c>
      <c r="N20">
        <f>L20/E20</f>
        <v>2</v>
      </c>
    </row>
    <row r="21" spans="1:14">
      <c r="B21" s="9" t="s">
        <v>18</v>
      </c>
      <c r="C21" s="7" t="s">
        <v>6</v>
      </c>
      <c r="D21" s="5">
        <v>0</v>
      </c>
      <c r="E21" s="5">
        <v>4</v>
      </c>
      <c r="F21" s="5">
        <v>6</v>
      </c>
      <c r="G21" s="5">
        <v>0</v>
      </c>
      <c r="H21" s="5">
        <v>0</v>
      </c>
      <c r="I21" s="5">
        <v>-1</v>
      </c>
      <c r="J21" s="5">
        <v>0</v>
      </c>
      <c r="K21" s="5">
        <v>1</v>
      </c>
      <c r="L21" s="5">
        <v>12</v>
      </c>
      <c r="N21">
        <f>L21/E21</f>
        <v>3</v>
      </c>
    </row>
    <row r="22" spans="1:14">
      <c r="B22" s="7"/>
      <c r="C22" s="7"/>
      <c r="D22" s="7" t="s">
        <v>22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4">
      <c r="D23" s="2" t="s">
        <v>23</v>
      </c>
      <c r="E23" s="8">
        <v>12</v>
      </c>
      <c r="F23" s="5">
        <v>10</v>
      </c>
      <c r="G23" s="5">
        <v>4</v>
      </c>
      <c r="H23" s="5">
        <v>-1</v>
      </c>
      <c r="I23" s="5">
        <v>-1</v>
      </c>
      <c r="J23" s="5">
        <v>0</v>
      </c>
      <c r="K23" s="5">
        <v>0</v>
      </c>
      <c r="L23" s="5">
        <v>28</v>
      </c>
    </row>
    <row r="25" spans="1:14">
      <c r="D25" t="s">
        <v>39</v>
      </c>
      <c r="E25">
        <v>0</v>
      </c>
    </row>
    <row r="26" spans="1:14">
      <c r="D26" t="s">
        <v>40</v>
      </c>
      <c r="E26">
        <v>0</v>
      </c>
    </row>
    <row r="27" spans="1:14">
      <c r="D27" t="s">
        <v>56</v>
      </c>
      <c r="E27">
        <v>0</v>
      </c>
    </row>
    <row r="28" spans="1:14">
      <c r="D28" t="s">
        <v>14</v>
      </c>
      <c r="E28">
        <v>0</v>
      </c>
    </row>
    <row r="29" spans="1:14">
      <c r="D29" t="s">
        <v>15</v>
      </c>
      <c r="E29">
        <v>0</v>
      </c>
    </row>
    <row r="30" spans="1:14">
      <c r="D30" t="s">
        <v>17</v>
      </c>
      <c r="E30">
        <v>16</v>
      </c>
    </row>
    <row r="31" spans="1:14">
      <c r="D31" t="s">
        <v>18</v>
      </c>
      <c r="E31">
        <v>12</v>
      </c>
    </row>
    <row r="33" spans="1:16">
      <c r="A33" s="1" t="s">
        <v>24</v>
      </c>
    </row>
    <row r="34" spans="1:16">
      <c r="B34" s="4" t="s">
        <v>13</v>
      </c>
      <c r="E34" s="4" t="s">
        <v>39</v>
      </c>
      <c r="F34" s="4" t="s">
        <v>40</v>
      </c>
      <c r="G34" s="4" t="s">
        <v>56</v>
      </c>
      <c r="H34" s="4" t="s">
        <v>14</v>
      </c>
      <c r="I34" s="4" t="s">
        <v>15</v>
      </c>
      <c r="J34" s="4" t="s">
        <v>17</v>
      </c>
      <c r="K34" s="4" t="s">
        <v>18</v>
      </c>
      <c r="L34" s="4" t="s">
        <v>2</v>
      </c>
      <c r="P34" t="s">
        <v>20</v>
      </c>
    </row>
    <row r="35" spans="1:16">
      <c r="B35" s="9" t="s">
        <v>39</v>
      </c>
      <c r="C35" s="7" t="s">
        <v>5</v>
      </c>
      <c r="D35" s="5">
        <v>12</v>
      </c>
      <c r="E35" s="5">
        <f>E20/8</f>
        <v>1</v>
      </c>
      <c r="F35" s="5">
        <f t="shared" ref="F35:L35" si="0">F20/8</f>
        <v>0.5</v>
      </c>
      <c r="G35" s="5">
        <f t="shared" si="0"/>
        <v>0.5</v>
      </c>
      <c r="H35" s="5">
        <f t="shared" si="0"/>
        <v>-0.125</v>
      </c>
      <c r="I35" s="5">
        <f t="shared" si="0"/>
        <v>0</v>
      </c>
      <c r="J35" s="5">
        <f t="shared" si="0"/>
        <v>0.125</v>
      </c>
      <c r="K35" s="5">
        <f t="shared" si="0"/>
        <v>0</v>
      </c>
      <c r="L35" s="5">
        <f t="shared" si="0"/>
        <v>2</v>
      </c>
      <c r="N35" t="s">
        <v>57</v>
      </c>
      <c r="P35">
        <f>L35/F35</f>
        <v>4</v>
      </c>
    </row>
    <row r="36" spans="1:16">
      <c r="B36" s="9" t="s">
        <v>18</v>
      </c>
      <c r="C36" s="7" t="s">
        <v>6</v>
      </c>
      <c r="D36" s="5">
        <v>0</v>
      </c>
      <c r="E36" s="5">
        <f>-E35*4+E21</f>
        <v>0</v>
      </c>
      <c r="F36" s="8">
        <f t="shared" ref="F36:L36" si="1">-F35*4+F21</f>
        <v>4</v>
      </c>
      <c r="G36" s="5">
        <f t="shared" si="1"/>
        <v>-2</v>
      </c>
      <c r="H36" s="5">
        <f t="shared" si="1"/>
        <v>0.5</v>
      </c>
      <c r="I36" s="5">
        <f t="shared" si="1"/>
        <v>-1</v>
      </c>
      <c r="J36" s="5">
        <f t="shared" si="1"/>
        <v>-0.5</v>
      </c>
      <c r="K36" s="5">
        <f t="shared" si="1"/>
        <v>1</v>
      </c>
      <c r="L36" s="5">
        <f t="shared" si="1"/>
        <v>4</v>
      </c>
      <c r="N36" t="s">
        <v>58</v>
      </c>
      <c r="P36">
        <f>L36/F36</f>
        <v>1</v>
      </c>
    </row>
    <row r="37" spans="1:16">
      <c r="B37" s="7"/>
      <c r="C37" s="7"/>
      <c r="D37" s="7" t="s">
        <v>22</v>
      </c>
      <c r="E37" s="5">
        <f>D35*E35+D36*E36</f>
        <v>12</v>
      </c>
      <c r="F37" s="5">
        <f>D35*F35+D36*F36</f>
        <v>6</v>
      </c>
      <c r="G37" s="5">
        <f>D35*G35+D36*G36</f>
        <v>6</v>
      </c>
      <c r="H37" s="5">
        <f>D35*H35+D36*H36</f>
        <v>-1.5</v>
      </c>
      <c r="I37" s="5">
        <f>D35*I35+D36*I36</f>
        <v>0</v>
      </c>
      <c r="J37" s="5">
        <f>D35*J35+D36*J36</f>
        <v>1.5</v>
      </c>
      <c r="K37" s="5">
        <f>D35*K35+D36*K36</f>
        <v>0</v>
      </c>
      <c r="L37" s="5">
        <f>D35*L35+D36*L36</f>
        <v>24</v>
      </c>
    </row>
    <row r="38" spans="1:16">
      <c r="D38" s="2" t="s">
        <v>23</v>
      </c>
      <c r="E38" s="5">
        <f>12-E37</f>
        <v>0</v>
      </c>
      <c r="F38" s="8">
        <f>10-F37</f>
        <v>4</v>
      </c>
      <c r="G38" s="5">
        <f>4-G37</f>
        <v>-2</v>
      </c>
      <c r="H38" s="5">
        <f>-1-H37</f>
        <v>0.5</v>
      </c>
      <c r="I38" s="5">
        <f>-1-I37</f>
        <v>-1</v>
      </c>
      <c r="J38" s="5">
        <f>0-J37</f>
        <v>-1.5</v>
      </c>
      <c r="K38" s="5">
        <f>0-K37</f>
        <v>0</v>
      </c>
      <c r="L38" s="5">
        <f>28-L37</f>
        <v>4</v>
      </c>
    </row>
    <row r="40" spans="1:16">
      <c r="D40" t="s">
        <v>39</v>
      </c>
      <c r="E40">
        <v>0</v>
      </c>
    </row>
    <row r="41" spans="1:16">
      <c r="D41" t="s">
        <v>40</v>
      </c>
      <c r="E41">
        <v>0</v>
      </c>
    </row>
    <row r="42" spans="1:16">
      <c r="D42" t="s">
        <v>56</v>
      </c>
      <c r="E42">
        <v>0</v>
      </c>
    </row>
    <row r="43" spans="1:16">
      <c r="D43" t="s">
        <v>14</v>
      </c>
      <c r="E43">
        <v>0</v>
      </c>
    </row>
    <row r="44" spans="1:16">
      <c r="D44" t="s">
        <v>15</v>
      </c>
      <c r="E44">
        <v>0</v>
      </c>
    </row>
    <row r="45" spans="1:16">
      <c r="D45" t="s">
        <v>17</v>
      </c>
      <c r="E45">
        <v>16</v>
      </c>
    </row>
    <row r="46" spans="1:16">
      <c r="D46" t="s">
        <v>18</v>
      </c>
      <c r="E46">
        <v>12</v>
      </c>
    </row>
    <row r="48" spans="1:16">
      <c r="A48" s="1" t="s">
        <v>28</v>
      </c>
    </row>
    <row r="49" spans="1:14">
      <c r="B49" s="4" t="s">
        <v>13</v>
      </c>
      <c r="E49" s="4" t="s">
        <v>39</v>
      </c>
      <c r="F49" s="4" t="s">
        <v>40</v>
      </c>
      <c r="G49" s="4" t="s">
        <v>56</v>
      </c>
      <c r="H49" s="4" t="s">
        <v>14</v>
      </c>
      <c r="I49" s="4" t="s">
        <v>15</v>
      </c>
      <c r="J49" s="4" t="s">
        <v>17</v>
      </c>
      <c r="K49" s="4" t="s">
        <v>18</v>
      </c>
      <c r="L49" s="4" t="s">
        <v>2</v>
      </c>
    </row>
    <row r="50" spans="1:14">
      <c r="B50" s="9" t="s">
        <v>39</v>
      </c>
      <c r="C50" s="7" t="s">
        <v>5</v>
      </c>
      <c r="D50" s="5">
        <v>12</v>
      </c>
      <c r="E50" s="5">
        <f>-E51*0.5+E35</f>
        <v>1</v>
      </c>
      <c r="F50" s="5">
        <f t="shared" ref="F50:L50" si="2">-F51*0.5+F35</f>
        <v>0</v>
      </c>
      <c r="G50" s="5">
        <f t="shared" si="2"/>
        <v>0.75</v>
      </c>
      <c r="H50" s="5">
        <f t="shared" si="2"/>
        <v>-0.1875</v>
      </c>
      <c r="I50" s="5">
        <f t="shared" si="2"/>
        <v>0.125</v>
      </c>
      <c r="J50" s="5">
        <f t="shared" si="2"/>
        <v>0.1875</v>
      </c>
      <c r="K50" s="5">
        <f t="shared" si="2"/>
        <v>-0.125</v>
      </c>
      <c r="L50" s="5">
        <f t="shared" si="2"/>
        <v>1.5</v>
      </c>
      <c r="N50" t="s">
        <v>59</v>
      </c>
    </row>
    <row r="51" spans="1:14">
      <c r="B51" s="9" t="s">
        <v>40</v>
      </c>
      <c r="C51" s="7" t="s">
        <v>6</v>
      </c>
      <c r="D51" s="5">
        <v>10</v>
      </c>
      <c r="E51" s="5">
        <f>E36/4</f>
        <v>0</v>
      </c>
      <c r="F51" s="5">
        <f t="shared" ref="F51:L51" si="3">F36/4</f>
        <v>1</v>
      </c>
      <c r="G51" s="5">
        <f t="shared" si="3"/>
        <v>-0.5</v>
      </c>
      <c r="H51" s="5">
        <f t="shared" si="3"/>
        <v>0.125</v>
      </c>
      <c r="I51" s="5">
        <f t="shared" si="3"/>
        <v>-0.25</v>
      </c>
      <c r="J51" s="5">
        <f t="shared" si="3"/>
        <v>-0.125</v>
      </c>
      <c r="K51" s="5">
        <f t="shared" si="3"/>
        <v>0.25</v>
      </c>
      <c r="L51" s="5">
        <f t="shared" si="3"/>
        <v>1</v>
      </c>
      <c r="N51" t="s">
        <v>60</v>
      </c>
    </row>
    <row r="52" spans="1:14">
      <c r="B52" s="7"/>
      <c r="C52" s="7"/>
      <c r="D52" s="7" t="s">
        <v>22</v>
      </c>
      <c r="E52" s="5">
        <f>D50*E50+D51*E51</f>
        <v>12</v>
      </c>
      <c r="F52" s="5">
        <f>D50*F50+D51*F51</f>
        <v>10</v>
      </c>
      <c r="G52" s="5">
        <f>D50*G50+D51*G51</f>
        <v>4</v>
      </c>
      <c r="H52" s="5">
        <f>D50*H50+D51*H51</f>
        <v>-1</v>
      </c>
      <c r="I52" s="5">
        <f>D50*I50+D51*I51</f>
        <v>-1</v>
      </c>
      <c r="J52" s="5">
        <f>D50*J50+D51*J51</f>
        <v>1</v>
      </c>
      <c r="K52" s="5">
        <f>D50*K50+D51*K51</f>
        <v>1</v>
      </c>
      <c r="L52" s="5">
        <f>D50*L50+D51*L51</f>
        <v>28</v>
      </c>
    </row>
    <row r="53" spans="1:14">
      <c r="D53" s="2" t="s">
        <v>23</v>
      </c>
      <c r="E53" s="5">
        <f>12-E52</f>
        <v>0</v>
      </c>
      <c r="F53" s="5">
        <f>10-F52</f>
        <v>0</v>
      </c>
      <c r="G53" s="5">
        <f>4-G52</f>
        <v>0</v>
      </c>
      <c r="H53" s="5">
        <f>-1-H52</f>
        <v>0</v>
      </c>
      <c r="I53" s="5">
        <f>-1-I52</f>
        <v>0</v>
      </c>
      <c r="J53" s="5">
        <f>0-J52</f>
        <v>-1</v>
      </c>
      <c r="K53" s="5">
        <f>0-K52</f>
        <v>-1</v>
      </c>
      <c r="L53" s="8">
        <f>28-L52</f>
        <v>0</v>
      </c>
    </row>
    <row r="55" spans="1:14">
      <c r="D55" t="s">
        <v>39</v>
      </c>
      <c r="E55">
        <v>1.5</v>
      </c>
    </row>
    <row r="56" spans="1:14">
      <c r="D56" t="s">
        <v>40</v>
      </c>
      <c r="E56">
        <v>1</v>
      </c>
    </row>
    <row r="57" spans="1:14">
      <c r="D57" t="s">
        <v>56</v>
      </c>
      <c r="E57">
        <v>0</v>
      </c>
    </row>
    <row r="58" spans="1:14">
      <c r="D58" t="s">
        <v>14</v>
      </c>
      <c r="E58">
        <v>0</v>
      </c>
    </row>
    <row r="59" spans="1:14">
      <c r="D59" t="s">
        <v>15</v>
      </c>
      <c r="E59">
        <v>0</v>
      </c>
    </row>
    <row r="60" spans="1:14">
      <c r="D60" t="s">
        <v>17</v>
      </c>
      <c r="E60">
        <v>0</v>
      </c>
    </row>
    <row r="61" spans="1:14">
      <c r="D61" t="s">
        <v>18</v>
      </c>
      <c r="E61">
        <v>0</v>
      </c>
    </row>
    <row r="63" spans="1:14">
      <c r="A63" s="1" t="s">
        <v>37</v>
      </c>
    </row>
    <row r="65" spans="1:12">
      <c r="A65" s="1" t="s">
        <v>12</v>
      </c>
    </row>
    <row r="66" spans="1:12">
      <c r="B66" s="4" t="s">
        <v>13</v>
      </c>
      <c r="E66" s="4" t="s">
        <v>39</v>
      </c>
      <c r="F66" s="4" t="s">
        <v>40</v>
      </c>
      <c r="G66" s="4" t="s">
        <v>56</v>
      </c>
      <c r="H66" s="4" t="s">
        <v>14</v>
      </c>
      <c r="I66" s="4" t="s">
        <v>15</v>
      </c>
      <c r="J66" s="4" t="s">
        <v>2</v>
      </c>
      <c r="L66" s="4" t="s">
        <v>20</v>
      </c>
    </row>
    <row r="67" spans="1:12">
      <c r="B67" s="9" t="s">
        <v>39</v>
      </c>
      <c r="C67" s="7" t="s">
        <v>5</v>
      </c>
      <c r="D67" s="5">
        <v>16</v>
      </c>
      <c r="E67" s="5">
        <f>E50</f>
        <v>1</v>
      </c>
      <c r="F67" s="5">
        <f t="shared" ref="F67:I67" si="4">F50</f>
        <v>0</v>
      </c>
      <c r="G67" s="8">
        <f t="shared" si="4"/>
        <v>0.75</v>
      </c>
      <c r="H67" s="5">
        <f t="shared" si="4"/>
        <v>-0.1875</v>
      </c>
      <c r="I67" s="5">
        <f t="shared" si="4"/>
        <v>0.125</v>
      </c>
      <c r="J67" s="5">
        <f>L50</f>
        <v>1.5</v>
      </c>
      <c r="L67">
        <f>J67/G67</f>
        <v>2</v>
      </c>
    </row>
    <row r="68" spans="1:12">
      <c r="B68" s="9" t="s">
        <v>40</v>
      </c>
      <c r="C68" s="7" t="s">
        <v>6</v>
      </c>
      <c r="D68" s="5">
        <v>12</v>
      </c>
      <c r="E68" s="5">
        <f>E51</f>
        <v>0</v>
      </c>
      <c r="F68" s="5">
        <f t="shared" ref="F68:I68" si="5">F51</f>
        <v>1</v>
      </c>
      <c r="G68" s="5">
        <f t="shared" si="5"/>
        <v>-0.5</v>
      </c>
      <c r="H68" s="5">
        <f t="shared" si="5"/>
        <v>0.125</v>
      </c>
      <c r="I68" s="5">
        <f t="shared" si="5"/>
        <v>-0.25</v>
      </c>
      <c r="J68" s="5">
        <f>L51</f>
        <v>1</v>
      </c>
      <c r="L68" t="s">
        <v>53</v>
      </c>
    </row>
    <row r="69" spans="1:12">
      <c r="B69" s="7"/>
      <c r="C69" s="7"/>
      <c r="D69" s="7" t="s">
        <v>22</v>
      </c>
      <c r="E69" s="5">
        <f>D67*E67+D68*E68</f>
        <v>16</v>
      </c>
      <c r="F69" s="5">
        <f>D67*F67+D68*F68</f>
        <v>12</v>
      </c>
      <c r="G69" s="5">
        <f>D67*G67+D68*G68</f>
        <v>6</v>
      </c>
      <c r="H69" s="5">
        <f>D67*H67+D68*H68</f>
        <v>-1.5</v>
      </c>
      <c r="I69" s="5">
        <f>D67*I67+D68*I68</f>
        <v>-1</v>
      </c>
      <c r="J69" s="5">
        <f>D67*J67+D68*J68</f>
        <v>36</v>
      </c>
    </row>
    <row r="70" spans="1:12">
      <c r="D70" s="7" t="s">
        <v>38</v>
      </c>
      <c r="E70" s="5">
        <f>E69-16</f>
        <v>0</v>
      </c>
      <c r="F70" s="5">
        <f>F69-12</f>
        <v>0</v>
      </c>
      <c r="G70" s="8">
        <f>G69-5</f>
        <v>1</v>
      </c>
      <c r="H70" s="5">
        <f>H69-0</f>
        <v>-1.5</v>
      </c>
      <c r="I70" s="5">
        <f>I69-0</f>
        <v>-1</v>
      </c>
      <c r="J70" s="5"/>
    </row>
    <row r="72" spans="1:12">
      <c r="D72" t="s">
        <v>39</v>
      </c>
      <c r="E72">
        <v>1.5</v>
      </c>
    </row>
    <row r="73" spans="1:12">
      <c r="D73" t="s">
        <v>40</v>
      </c>
      <c r="E73">
        <v>1</v>
      </c>
    </row>
    <row r="74" spans="1:12">
      <c r="D74" t="s">
        <v>56</v>
      </c>
      <c r="E74">
        <v>0</v>
      </c>
    </row>
    <row r="75" spans="1:12">
      <c r="D75" t="s">
        <v>14</v>
      </c>
      <c r="E75">
        <v>0</v>
      </c>
    </row>
    <row r="76" spans="1:12">
      <c r="D76" t="s">
        <v>15</v>
      </c>
      <c r="E76">
        <v>0</v>
      </c>
    </row>
    <row r="78" spans="1:12">
      <c r="A78" s="1" t="s">
        <v>24</v>
      </c>
    </row>
    <row r="79" spans="1:12">
      <c r="B79" s="4" t="s">
        <v>13</v>
      </c>
      <c r="E79" s="4" t="s">
        <v>39</v>
      </c>
      <c r="F79" s="4" t="s">
        <v>40</v>
      </c>
      <c r="G79" s="4" t="s">
        <v>56</v>
      </c>
      <c r="H79" s="4" t="s">
        <v>14</v>
      </c>
      <c r="I79" s="4" t="s">
        <v>15</v>
      </c>
      <c r="J79" s="4" t="s">
        <v>2</v>
      </c>
      <c r="L79" s="4"/>
    </row>
    <row r="80" spans="1:12">
      <c r="B80" s="9" t="s">
        <v>56</v>
      </c>
      <c r="C80" s="7" t="s">
        <v>5</v>
      </c>
      <c r="D80" s="5">
        <v>5</v>
      </c>
      <c r="E80" s="5">
        <f>E67/0.75</f>
        <v>1.3333333333333333</v>
      </c>
      <c r="F80" s="5">
        <f t="shared" ref="F80:J80" si="6">F67/0.75</f>
        <v>0</v>
      </c>
      <c r="G80" s="5">
        <f t="shared" si="6"/>
        <v>1</v>
      </c>
      <c r="H80" s="5">
        <f t="shared" si="6"/>
        <v>-0.25</v>
      </c>
      <c r="I80" s="5">
        <f t="shared" si="6"/>
        <v>0.16666666666666666</v>
      </c>
      <c r="J80" s="5">
        <f t="shared" si="6"/>
        <v>2</v>
      </c>
      <c r="L80" t="s">
        <v>61</v>
      </c>
    </row>
    <row r="81" spans="2:12">
      <c r="B81" s="9" t="s">
        <v>40</v>
      </c>
      <c r="C81" s="7" t="s">
        <v>6</v>
      </c>
      <c r="D81" s="5">
        <v>12</v>
      </c>
      <c r="E81" s="5">
        <f>E80/2+E68</f>
        <v>0.66666666666666663</v>
      </c>
      <c r="F81" s="5">
        <f t="shared" ref="F81:J81" si="7">F80/2+F68</f>
        <v>1</v>
      </c>
      <c r="G81" s="5">
        <f t="shared" si="7"/>
        <v>0</v>
      </c>
      <c r="H81" s="5">
        <f t="shared" si="7"/>
        <v>0</v>
      </c>
      <c r="I81" s="5">
        <f t="shared" si="7"/>
        <v>-0.16666666666666669</v>
      </c>
      <c r="J81" s="5">
        <f t="shared" si="7"/>
        <v>2</v>
      </c>
      <c r="L81" t="s">
        <v>62</v>
      </c>
    </row>
    <row r="82" spans="2:12">
      <c r="B82" s="7"/>
      <c r="C82" s="7"/>
      <c r="D82" s="7" t="s">
        <v>22</v>
      </c>
      <c r="E82" s="5">
        <f>D80*E80+D81*E81</f>
        <v>14.666666666666666</v>
      </c>
      <c r="F82" s="5">
        <f>D80*F80+D81*F81</f>
        <v>12</v>
      </c>
      <c r="G82" s="5">
        <f>D80*G80+D81*G81</f>
        <v>5</v>
      </c>
      <c r="H82" s="5">
        <f>D80*H80+D81*H81</f>
        <v>-1.25</v>
      </c>
      <c r="I82" s="5">
        <f>D80*I80+D81*I81</f>
        <v>-1.1666666666666667</v>
      </c>
      <c r="J82" s="5">
        <f>D80*J80+D81*J81</f>
        <v>34</v>
      </c>
    </row>
    <row r="83" spans="2:12">
      <c r="D83" s="7" t="s">
        <v>38</v>
      </c>
      <c r="E83" s="5">
        <f>E82-16</f>
        <v>-1.3333333333333339</v>
      </c>
      <c r="F83" s="5">
        <f>F82-12</f>
        <v>0</v>
      </c>
      <c r="G83" s="5">
        <f>G82-5</f>
        <v>0</v>
      </c>
      <c r="H83" s="5">
        <f>H82-0</f>
        <v>-1.25</v>
      </c>
      <c r="I83" s="5">
        <f>I82-0</f>
        <v>-1.1666666666666667</v>
      </c>
      <c r="J83" s="5"/>
    </row>
    <row r="85" spans="2:12">
      <c r="D85" t="s">
        <v>39</v>
      </c>
      <c r="E85">
        <v>0</v>
      </c>
    </row>
    <row r="86" spans="2:12">
      <c r="D86" t="s">
        <v>40</v>
      </c>
      <c r="E86">
        <v>2</v>
      </c>
    </row>
    <row r="87" spans="2:12">
      <c r="D87" t="s">
        <v>56</v>
      </c>
      <c r="E87">
        <v>2</v>
      </c>
    </row>
    <row r="88" spans="2:12">
      <c r="D88" t="s">
        <v>14</v>
      </c>
      <c r="E88">
        <v>0</v>
      </c>
    </row>
    <row r="89" spans="2:12">
      <c r="D89" t="s">
        <v>15</v>
      </c>
      <c r="E8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Clayton Silva</dc:creator>
  <cp:keywords/>
  <dc:description/>
  <cp:lastModifiedBy>Usuário Convidado</cp:lastModifiedBy>
  <cp:revision/>
  <dcterms:created xsi:type="dcterms:W3CDTF">2026-08-24T17:36:16Z</dcterms:created>
  <dcterms:modified xsi:type="dcterms:W3CDTF">2026-09-28T19:11:09Z</dcterms:modified>
  <cp:category/>
  <cp:contentStatus/>
</cp:coreProperties>
</file>