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CLIENTES/IBMEC/ENSINO/Disciplina Programação Linear/"/>
    </mc:Choice>
  </mc:AlternateContent>
  <xr:revisionPtr revIDLastSave="1238" documentId="8_{7441380E-8BC0-4C04-826E-1315F0A2F52A}" xr6:coauthVersionLast="47" xr6:coauthVersionMax="47" xr10:uidLastSave="{114D6567-1E41-4609-A77A-D2D4B8F5249D}"/>
  <bookViews>
    <workbookView xWindow="-108" yWindow="-108" windowWidth="23256" windowHeight="12456" firstSheet="2" activeTab="2" xr2:uid="{87335C52-F336-4AEE-ABDD-7C4B941C14F1}"/>
  </bookViews>
  <sheets>
    <sheet name="Relatório de Respostas 1" sheetId="2" r:id="rId1"/>
    <sheet name="Relatório de Limites 1" sheetId="3" r:id="rId2"/>
    <sheet name="Exemplo3" sheetId="1" r:id="rId3"/>
  </sheets>
  <definedNames>
    <definedName name="solver_adj" localSheetId="2" hidden="1">Exemplo3!$F$17:$H$17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Exemplo3!$K$10</definedName>
    <definedName name="solver_lhs2" localSheetId="2" hidden="1">Exemplo3!$K$11</definedName>
    <definedName name="solver_lhs3" localSheetId="2" hidden="1">Exemplo3!$K$12</definedName>
    <definedName name="solver_lhs4" localSheetId="2" hidden="1">Exemplo3!$K$13</definedName>
    <definedName name="solver_lhs5" localSheetId="2" hidden="1">Exemplo3!$K$14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5</definedName>
    <definedName name="solver_nwt" localSheetId="2" hidden="1">1</definedName>
    <definedName name="solver_opt" localSheetId="2" hidden="1">Exemplo3!$K$21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el5" localSheetId="2" hidden="1">1</definedName>
    <definedName name="solver_rhs1" localSheetId="2" hidden="1">Exemplo3!$O$10</definedName>
    <definedName name="solver_rhs2" localSheetId="2" hidden="1">Exemplo3!$O$11</definedName>
    <definedName name="solver_rhs3" localSheetId="2" hidden="1">Exemplo3!$O$12</definedName>
    <definedName name="solver_rhs4" localSheetId="2" hidden="1">Exemplo3!$O$13</definedName>
    <definedName name="solver_rhs5" localSheetId="2" hidden="1">Exemplo3!$O$14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valor1">Exemplo3!$F$17</definedName>
    <definedName name="valor2">Exemplo3!$G$17</definedName>
    <definedName name="valor3">Exemplo3!$H$17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0" i="1"/>
  <c r="K21" i="1"/>
</calcChain>
</file>

<file path=xl/sharedStrings.xml><?xml version="1.0" encoding="utf-8"?>
<sst xmlns="http://schemas.openxmlformats.org/spreadsheetml/2006/main" count="84" uniqueCount="56">
  <si>
    <t>Microsoft Excel 16.0 Relatório de Respostas</t>
  </si>
  <si>
    <t>Planilha: [Exemplos_3_4.xlsx]Exemplo3</t>
  </si>
  <si>
    <t>Relatório Criado: 17/08/2026 22:34:41</t>
  </si>
  <si>
    <t>Resultado: O Solver encontrou uma solução.  Todas as Restrições e condições de adequação foram satisfeitas.</t>
  </si>
  <si>
    <t>Mecanismo do Solver</t>
  </si>
  <si>
    <t>Mecanismo: GRG Não Linear</t>
  </si>
  <si>
    <t>Tempo da Solução: 0,109 Segundos.</t>
  </si>
  <si>
    <t>Iterações: 5 Subproblemas: 0</t>
  </si>
  <si>
    <t>Opções do Solver</t>
  </si>
  <si>
    <t>Tempo Máx. Ilimitado,  Iterações Ilimitado, Precision 0,000001, Usar Escala Automática</t>
  </si>
  <si>
    <t xml:space="preserve"> Convergência 0,0001, Tamanho da População 100, Propagação Aleatória 0, Encaminhar Derivativos, Limites Necessários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</si>
  <si>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</si>
  <si>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</si>
  <si>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</si>
  <si>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</si>
  <si>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</si>
  <si>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</si>
  <si>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$K$21</t>
  </si>
  <si>
    <t>Células Variáveis</t>
  </si>
  <si>
    <t>Número Inteiro</t>
  </si>
  <si>
    <t>$F$17</t>
  </si>
  <si>
    <t>valor1</t>
  </si>
  <si>
    <t>Conting.</t>
  </si>
  <si>
    <t>$G$17</t>
  </si>
  <si>
    <t>valor2</t>
  </si>
  <si>
    <t>$H$17</t>
  </si>
  <si>
    <t>valor3</t>
  </si>
  <si>
    <t>Restrições</t>
  </si>
  <si>
    <t>Valor da Célula</t>
  </si>
  <si>
    <t>Fórmula</t>
  </si>
  <si>
    <t>Status</t>
  </si>
  <si>
    <t>Margem de Atraso</t>
  </si>
  <si>
    <t>$K$10</t>
  </si>
  <si>
    <t>$K$10&lt;=$O$10</t>
  </si>
  <si>
    <t>Associação</t>
  </si>
  <si>
    <t>$K$11</t>
  </si>
  <si>
    <t>$K$11&lt;=$O$11</t>
  </si>
  <si>
    <t>Não-associação</t>
  </si>
  <si>
    <t>$K$12</t>
  </si>
  <si>
    <t>$K$12&lt;=$O$12</t>
  </si>
  <si>
    <t>$K$13</t>
  </si>
  <si>
    <t>$K$13&lt;=$O$13</t>
  </si>
  <si>
    <t>$K$14</t>
  </si>
  <si>
    <t>$K$14&lt;=$O$14</t>
  </si>
  <si>
    <t>Microsoft Excel 16.0 Relatório de Limites</t>
  </si>
  <si>
    <t>Relatório Criado: 17/08/2026 22:35:15</t>
  </si>
  <si>
    <t>Objetivo</t>
  </si>
  <si>
    <t>Valor</t>
  </si>
  <si>
    <t>Variável</t>
  </si>
  <si>
    <t>Inferior</t>
  </si>
  <si>
    <t>Superior</t>
  </si>
  <si>
    <t>Limite</t>
  </si>
  <si>
    <t>Resultado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</si>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</sst>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4" fontId="2" fillId="0" borderId="1" xfId="0" applyNumberFormat="1" applyFont="1" applyBorder="1"/>
    <xf numFmtId="4" fontId="2" fillId="0" borderId="1" xfId="0" applyNumberFormat="1" applyFont="1" applyFill="1" applyBorder="1"/>
    <xf numFmtId="164" fontId="2" fillId="0" borderId="1" xfId="0" applyNumberFormat="1" applyFont="1" applyBorder="1"/>
    <xf numFmtId="0" fontId="1" fillId="0" borderId="0" xfId="0" applyFont="1"/>
    <xf numFmtId="0" fontId="0" fillId="0" borderId="5" xfId="0" applyFill="1" applyBorder="1" applyAlignment="1"/>
    <xf numFmtId="0" fontId="4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3DC4BA-338A-1966-4A1B-3E4C705FE5D2}"/>
            </a:ext>
          </a:extLst>
        </xdr:cNvPr>
        <xdr:cNvSpPr txBox="1"/>
      </xdr:nvSpPr>
      <xdr:spPr>
        <a:xfrm>
          <a:off x="376428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4</xdr:col>
      <xdr:colOff>236220</xdr:colOff>
      <xdr:row>5</xdr:row>
      <xdr:rowOff>38100</xdr:rowOff>
    </xdr:from>
    <xdr:ext cx="2979420" cy="34285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7EFB7E0-9AB5-44A8-9538-5F515A38B745}"/>
            </a:ext>
          </a:extLst>
        </xdr:cNvPr>
        <xdr:cNvSpPr txBox="1"/>
      </xdr:nvSpPr>
      <xdr:spPr>
        <a:xfrm>
          <a:off x="2674620" y="95250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COEFICIENTES DAS RESTRIÇÕES</a:t>
          </a:r>
        </a:p>
      </xdr:txBody>
    </xdr:sp>
    <xdr:clientData/>
  </xdr:oneCellAnchor>
  <xdr:oneCellAnchor>
    <xdr:from>
      <xdr:col>14</xdr:col>
      <xdr:colOff>0</xdr:colOff>
      <xdr:row>5</xdr:row>
      <xdr:rowOff>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55152B8-86DE-483E-BEDE-D57893D45709}"/>
            </a:ext>
          </a:extLst>
        </xdr:cNvPr>
        <xdr:cNvSpPr txBox="1"/>
      </xdr:nvSpPr>
      <xdr:spPr>
        <a:xfrm>
          <a:off x="8534400" y="91440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9</xdr:col>
      <xdr:colOff>304800</xdr:colOff>
      <xdr:row>5</xdr:row>
      <xdr:rowOff>38100</xdr:rowOff>
    </xdr:from>
    <xdr:ext cx="2499360" cy="34285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E3A2A85-5EEB-476E-B3D5-D2631ABD6E30}"/>
            </a:ext>
          </a:extLst>
        </xdr:cNvPr>
        <xdr:cNvSpPr txBox="1"/>
      </xdr:nvSpPr>
      <xdr:spPr>
        <a:xfrm>
          <a:off x="5791200" y="952500"/>
          <a:ext cx="249936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8905834-550D-43D9-A378-6B1DD025701C}"/>
            </a:ext>
          </a:extLst>
        </xdr:cNvPr>
        <xdr:cNvSpPr txBox="1"/>
      </xdr:nvSpPr>
      <xdr:spPr>
        <a:xfrm>
          <a:off x="1219200" y="32004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B0428CE-9196-43A5-8A09-8ED8E64880D7}"/>
            </a:ext>
          </a:extLst>
        </xdr:cNvPr>
        <xdr:cNvSpPr txBox="1"/>
      </xdr:nvSpPr>
      <xdr:spPr>
        <a:xfrm>
          <a:off x="1219200" y="397764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11</xdr:col>
      <xdr:colOff>441960</xdr:colOff>
      <xdr:row>19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CDCA6F72-ACB4-41EF-A1FE-624002D8B0D4}"/>
            </a:ext>
          </a:extLst>
        </xdr:cNvPr>
        <xdr:cNvSpPr txBox="1"/>
      </xdr:nvSpPr>
      <xdr:spPr>
        <a:xfrm>
          <a:off x="7147560" y="397002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425A-381B-4DC4-8981-1A5F4BD4CB89}">
  <dimension ref="A1:G32"/>
  <sheetViews>
    <sheetView showGridLines="0" workbookViewId="0">
      <selection activeCell="F25" sqref="F25"/>
    </sheetView>
  </sheetViews>
  <sheetFormatPr defaultRowHeight="14.45"/>
  <cols>
    <col min="1" max="1" width="2.28515625" customWidth="1"/>
    <col min="2" max="2" width="6.28515625" bestFit="1" customWidth="1"/>
    <col min="3" max="3" width="6" bestFit="1" customWidth="1"/>
    <col min="4" max="4" width="13.5703125" bestFit="1" customWidth="1"/>
    <col min="5" max="5" width="13.42578125" bestFit="1" customWidth="1"/>
    <col min="6" max="6" width="14.28515625" bestFit="1" customWidth="1"/>
    <col min="7" max="7" width="15.85546875" bestFit="1" customWidth="1"/>
  </cols>
  <sheetData>
    <row r="1" spans="1:5">
      <c r="A1" s="8" t="s">
        <v>0</v>
      </c>
    </row>
    <row r="2" spans="1:5">
      <c r="A2" s="8" t="s">
        <v>1</v>
      </c>
    </row>
    <row r="3" spans="1:5">
      <c r="A3" s="8" t="s">
        <v>2</v>
      </c>
    </row>
    <row r="4" spans="1:5">
      <c r="A4" s="8" t="s">
        <v>3</v>
      </c>
    </row>
    <row r="5" spans="1:5">
      <c r="A5" s="8" t="s">
        <v>4</v>
      </c>
    </row>
    <row r="6" spans="1:5">
      <c r="A6" s="8"/>
      <c r="B6" t="s">
        <v>5</v>
      </c>
    </row>
    <row r="7" spans="1:5">
      <c r="A7" s="8"/>
      <c r="B7" t="s">
        <v>6</v>
      </c>
    </row>
    <row r="8" spans="1:5">
      <c r="A8" s="8"/>
      <c r="B8" t="s">
        <v>7</v>
      </c>
    </row>
    <row r="9" spans="1:5">
      <c r="A9" s="8" t="s">
        <v>8</v>
      </c>
    </row>
    <row r="10" spans="1:5">
      <c r="B10" t="s">
        <v>9</v>
      </c>
    </row>
    <row r="11" spans="1:5">
      <c r="B11" t="s">
        <v>10</v>
      </c>
    </row>
    <row r="12" spans="1:5">
      <c r="B12" t="s">
        <v>11</v>
      </c>
    </row>
    <row r="14" spans="1:5" ht="15" thickBot="1">
      <c r="A14" t="s">
        <v>12</v>
      </c>
    </row>
    <row r="15" spans="1:5" ht="15" thickBot="1">
      <c r="B15" s="10" t="s">
        <v>13</v>
      </c>
      <c r="C15" s="10" t="s">
        <v>14</v>
      </c>
      <c r="D15" s="10" t="s">
        <v>15</v>
      </c>
      <c r="E15" s="10" t="s">
        <v>16</v>
      </c>
    </row>
    <row r="16" spans="1:5" ht="15" thickBot="1">
      <c r="B16" s="9" t="s">
        <v>17</v>
      </c>
      <c r="C16" s="9"/>
      <c r="D16" s="12">
        <v>0.75</v>
      </c>
      <c r="E16" s="12">
        <v>2845522.3880597013</v>
      </c>
    </row>
    <row r="19" spans="1:7" ht="15" thickBot="1">
      <c r="A19" t="s">
        <v>18</v>
      </c>
    </row>
    <row r="20" spans="1:7" ht="15" thickBot="1">
      <c r="B20" s="10" t="s">
        <v>13</v>
      </c>
      <c r="C20" s="10" t="s">
        <v>14</v>
      </c>
      <c r="D20" s="10" t="s">
        <v>15</v>
      </c>
      <c r="E20" s="10" t="s">
        <v>16</v>
      </c>
      <c r="F20" s="10" t="s">
        <v>19</v>
      </c>
    </row>
    <row r="21" spans="1:7">
      <c r="B21" s="11" t="s">
        <v>20</v>
      </c>
      <c r="C21" s="11" t="s">
        <v>21</v>
      </c>
      <c r="D21" s="13">
        <v>1</v>
      </c>
      <c r="E21" s="13">
        <v>770149.2537313432</v>
      </c>
      <c r="F21" s="11" t="s">
        <v>22</v>
      </c>
    </row>
    <row r="22" spans="1:7">
      <c r="B22" s="11" t="s">
        <v>23</v>
      </c>
      <c r="C22" s="11" t="s">
        <v>24</v>
      </c>
      <c r="D22" s="13">
        <v>1</v>
      </c>
      <c r="E22" s="13">
        <v>599999.99999999988</v>
      </c>
      <c r="F22" s="11" t="s">
        <v>22</v>
      </c>
    </row>
    <row r="23" spans="1:7" ht="15" thickBot="1">
      <c r="B23" s="9" t="s">
        <v>25</v>
      </c>
      <c r="C23" s="9" t="s">
        <v>26</v>
      </c>
      <c r="D23" s="12">
        <v>1</v>
      </c>
      <c r="E23" s="12">
        <v>12322388.059701491</v>
      </c>
      <c r="F23" s="9" t="s">
        <v>22</v>
      </c>
    </row>
    <row r="26" spans="1:7" ht="15" thickBot="1">
      <c r="A26" t="s">
        <v>27</v>
      </c>
    </row>
    <row r="27" spans="1:7" ht="15" thickBot="1">
      <c r="B27" s="10" t="s">
        <v>13</v>
      </c>
      <c r="C27" s="10" t="s">
        <v>14</v>
      </c>
      <c r="D27" s="10" t="s">
        <v>28</v>
      </c>
      <c r="E27" s="10" t="s">
        <v>29</v>
      </c>
      <c r="F27" s="10" t="s">
        <v>30</v>
      </c>
      <c r="G27" s="10" t="s">
        <v>31</v>
      </c>
    </row>
    <row r="28" spans="1:7">
      <c r="B28" s="11" t="s">
        <v>32</v>
      </c>
      <c r="C28" s="11"/>
      <c r="D28" s="13">
        <v>9599999.9999999981</v>
      </c>
      <c r="E28" s="11" t="s">
        <v>33</v>
      </c>
      <c r="F28" s="11" t="s">
        <v>34</v>
      </c>
      <c r="G28" s="11">
        <v>0</v>
      </c>
    </row>
    <row r="29" spans="1:7">
      <c r="B29" s="11" t="s">
        <v>35</v>
      </c>
      <c r="C29" s="11"/>
      <c r="D29" s="13">
        <v>3053552.2388059697</v>
      </c>
      <c r="E29" s="11" t="s">
        <v>36</v>
      </c>
      <c r="F29" s="11" t="s">
        <v>37</v>
      </c>
      <c r="G29" s="11">
        <v>1746447.7611940303</v>
      </c>
    </row>
    <row r="30" spans="1:7">
      <c r="B30" s="11" t="s">
        <v>38</v>
      </c>
      <c r="C30" s="11"/>
      <c r="D30" s="13">
        <v>1038985.0746268656</v>
      </c>
      <c r="E30" s="11" t="s">
        <v>39</v>
      </c>
      <c r="F30" s="11" t="s">
        <v>37</v>
      </c>
      <c r="G30" s="11">
        <v>1161014.9253731344</v>
      </c>
    </row>
    <row r="31" spans="1:7">
      <c r="B31" s="11" t="s">
        <v>40</v>
      </c>
      <c r="C31" s="11"/>
      <c r="D31" s="13">
        <v>0</v>
      </c>
      <c r="E31" s="11" t="s">
        <v>41</v>
      </c>
      <c r="F31" s="11" t="s">
        <v>34</v>
      </c>
      <c r="G31" s="11">
        <v>0</v>
      </c>
    </row>
    <row r="32" spans="1:7" ht="15" thickBot="1">
      <c r="B32" s="9" t="s">
        <v>42</v>
      </c>
      <c r="C32" s="9"/>
      <c r="D32" s="12">
        <v>599999.99999999988</v>
      </c>
      <c r="E32" s="9" t="s">
        <v>43</v>
      </c>
      <c r="F32" s="9" t="s">
        <v>34</v>
      </c>
      <c r="G32" s="9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2D44-418E-4C9E-ACF9-E0481AED271B}">
  <dimension ref="A1:J15"/>
  <sheetViews>
    <sheetView showGridLines="0" workbookViewId="0">
      <selection sqref="A1:A3"/>
    </sheetView>
  </sheetViews>
  <sheetFormatPr defaultRowHeight="14.45"/>
  <cols>
    <col min="1" max="1" width="2.28515625" customWidth="1"/>
    <col min="2" max="2" width="6.28515625" bestFit="1" customWidth="1"/>
    <col min="3" max="3" width="7.7109375" bestFit="1" customWidth="1"/>
    <col min="4" max="4" width="10" bestFit="1" customWidth="1"/>
    <col min="5" max="5" width="2.28515625" customWidth="1"/>
    <col min="6" max="6" width="11" bestFit="1" customWidth="1"/>
    <col min="7" max="7" width="9.28515625" bestFit="1" customWidth="1"/>
    <col min="8" max="8" width="2.28515625" customWidth="1"/>
    <col min="9" max="9" width="11" bestFit="1" customWidth="1"/>
    <col min="10" max="10" width="9.28515625" bestFit="1" customWidth="1"/>
  </cols>
  <sheetData>
    <row r="1" spans="1:10">
      <c r="A1" s="8" t="s">
        <v>44</v>
      </c>
    </row>
    <row r="2" spans="1:10">
      <c r="A2" s="8" t="s">
        <v>1</v>
      </c>
    </row>
    <row r="3" spans="1:10">
      <c r="A3" s="8" t="s">
        <v>45</v>
      </c>
    </row>
    <row r="5" spans="1:10" ht="15" thickBot="1"/>
    <row r="6" spans="1:10">
      <c r="B6" s="14"/>
      <c r="C6" s="14" t="s">
        <v>46</v>
      </c>
      <c r="D6" s="14"/>
    </row>
    <row r="7" spans="1:10" ht="15" thickBot="1">
      <c r="B7" s="15" t="s">
        <v>13</v>
      </c>
      <c r="C7" s="15" t="s">
        <v>14</v>
      </c>
      <c r="D7" s="15" t="s">
        <v>47</v>
      </c>
    </row>
    <row r="8" spans="1:10" ht="15" thickBot="1">
      <c r="B8" s="9" t="s">
        <v>17</v>
      </c>
      <c r="C8" s="9"/>
      <c r="D8" s="12">
        <v>2845522.3880597013</v>
      </c>
    </row>
    <row r="10" spans="1:10" ht="15" thickBot="1"/>
    <row r="11" spans="1:10">
      <c r="B11" s="14"/>
      <c r="C11" s="14" t="s">
        <v>48</v>
      </c>
      <c r="D11" s="14"/>
      <c r="F11" s="14" t="s">
        <v>49</v>
      </c>
      <c r="G11" s="14" t="s">
        <v>46</v>
      </c>
      <c r="I11" s="14" t="s">
        <v>50</v>
      </c>
      <c r="J11" s="14" t="s">
        <v>46</v>
      </c>
    </row>
    <row r="12" spans="1:10" ht="15" thickBot="1">
      <c r="B12" s="15" t="s">
        <v>13</v>
      </c>
      <c r="C12" s="15" t="s">
        <v>14</v>
      </c>
      <c r="D12" s="15" t="s">
        <v>47</v>
      </c>
      <c r="F12" s="15" t="s">
        <v>51</v>
      </c>
      <c r="G12" s="15" t="s">
        <v>52</v>
      </c>
      <c r="I12" s="15" t="s">
        <v>51</v>
      </c>
      <c r="J12" s="15" t="s">
        <v>52</v>
      </c>
    </row>
    <row r="13" spans="1:10">
      <c r="B13" s="11" t="s">
        <v>20</v>
      </c>
      <c r="C13" s="11" t="s">
        <v>21</v>
      </c>
      <c r="D13" s="13">
        <v>770149.2537313432</v>
      </c>
      <c r="F13" s="13">
        <v>770149.2537313432</v>
      </c>
      <c r="G13" s="13">
        <v>2845522.3880597013</v>
      </c>
      <c r="I13" s="13">
        <v>770149.2537313432</v>
      </c>
      <c r="J13" s="13">
        <v>2845522.3880597013</v>
      </c>
    </row>
    <row r="14" spans="1:10">
      <c r="B14" s="11" t="s">
        <v>23</v>
      </c>
      <c r="C14" s="11" t="s">
        <v>24</v>
      </c>
      <c r="D14" s="13">
        <v>599999.99999999988</v>
      </c>
      <c r="F14" s="13">
        <v>0</v>
      </c>
      <c r="G14" s="13">
        <v>2695522.3880597013</v>
      </c>
      <c r="I14" s="13">
        <v>600000</v>
      </c>
      <c r="J14" s="13">
        <v>2845522.3880597013</v>
      </c>
    </row>
    <row r="15" spans="1:10" ht="15" thickBot="1">
      <c r="B15" s="9" t="s">
        <v>25</v>
      </c>
      <c r="C15" s="9" t="s">
        <v>26</v>
      </c>
      <c r="D15" s="12">
        <v>12322388.059701491</v>
      </c>
      <c r="F15" s="12">
        <v>12322388.059701491</v>
      </c>
      <c r="G15" s="12">
        <v>2845522.3880597013</v>
      </c>
      <c r="I15" s="12">
        <v>12322388.059701491</v>
      </c>
      <c r="J15" s="12">
        <v>2845522.3880597013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30EA-9EDF-4E92-AC3E-EC96F7BAAF97}">
  <dimension ref="F9:O21"/>
  <sheetViews>
    <sheetView tabSelected="1" topLeftCell="A2" workbookViewId="0">
      <selection activeCell="P19" sqref="P19"/>
    </sheetView>
  </sheetViews>
  <sheetFormatPr defaultRowHeight="14.45"/>
  <cols>
    <col min="6" max="6" width="16" bestFit="1" customWidth="1"/>
    <col min="7" max="7" width="13.140625" bestFit="1" customWidth="1"/>
    <col min="8" max="8" width="19.85546875" customWidth="1"/>
    <col min="11" max="11" width="19" customWidth="1"/>
    <col min="15" max="15" width="15.140625" bestFit="1" customWidth="1"/>
  </cols>
  <sheetData>
    <row r="9" spans="6:15" ht="18">
      <c r="F9" s="2" t="s">
        <v>53</v>
      </c>
      <c r="G9" s="2" t="s">
        <v>54</v>
      </c>
      <c r="H9" s="2" t="s">
        <v>55</v>
      </c>
    </row>
    <row r="10" spans="6:15" s="1" customFormat="1" ht="18">
      <c r="F10" s="3">
        <v>0.22</v>
      </c>
      <c r="G10" s="3">
        <v>0.52</v>
      </c>
      <c r="H10" s="3">
        <v>0.74</v>
      </c>
      <c r="K10" s="5">
        <f>SUMPRODUCT(F10:H10,F17:H17)</f>
        <v>9600000</v>
      </c>
      <c r="O10" s="5">
        <v>9600000</v>
      </c>
    </row>
    <row r="11" spans="6:15" s="1" customFormat="1" ht="18">
      <c r="F11" s="3">
        <v>0.5</v>
      </c>
      <c r="G11" s="3">
        <v>0.34</v>
      </c>
      <c r="H11" s="3">
        <v>0.2</v>
      </c>
      <c r="K11" s="5">
        <f>SUMPRODUCT(F11:H11,F17:H17)</f>
        <v>3053552.2388059702</v>
      </c>
      <c r="O11" s="5">
        <v>4800000</v>
      </c>
    </row>
    <row r="12" spans="6:15" s="1" customFormat="1" ht="18">
      <c r="F12" s="3">
        <v>0.28000000000000003</v>
      </c>
      <c r="G12" s="3">
        <v>0.14000000000000001</v>
      </c>
      <c r="H12" s="3">
        <v>0.06</v>
      </c>
      <c r="K12" s="5">
        <f>SUMPRODUCT(F12:H12,F17:H17)</f>
        <v>1038985.0746268658</v>
      </c>
      <c r="O12" s="5">
        <v>2200000</v>
      </c>
    </row>
    <row r="13" spans="6:15" s="1" customFormat="1" ht="18">
      <c r="F13" s="4">
        <v>16</v>
      </c>
      <c r="G13" s="4">
        <v>0</v>
      </c>
      <c r="H13" s="4">
        <v>-1</v>
      </c>
      <c r="K13" s="5">
        <f>SUMPRODUCT(F13:H13,F17:H17)</f>
        <v>0</v>
      </c>
      <c r="O13" s="5">
        <v>0</v>
      </c>
    </row>
    <row r="14" spans="6:15" s="1" customFormat="1" ht="18">
      <c r="F14" s="3">
        <v>0</v>
      </c>
      <c r="G14" s="4">
        <v>1</v>
      </c>
      <c r="H14" s="3">
        <v>0</v>
      </c>
      <c r="K14" s="5">
        <f>SUMPRODUCT(F14:H14,F17:H17)</f>
        <v>600000</v>
      </c>
      <c r="O14" s="5">
        <v>600000</v>
      </c>
    </row>
    <row r="17" spans="6:11" ht="18">
      <c r="F17" s="5">
        <v>770149.25373134331</v>
      </c>
      <c r="G17" s="6">
        <v>600000</v>
      </c>
      <c r="H17" s="5">
        <v>12322388.059701493</v>
      </c>
    </row>
    <row r="21" spans="6:11" ht="18">
      <c r="F21" s="3">
        <v>0.3</v>
      </c>
      <c r="G21" s="3">
        <v>0.25</v>
      </c>
      <c r="H21" s="3">
        <v>0.2</v>
      </c>
      <c r="K21" s="7">
        <f>F21*valor1+G21*valor2+H21*valor3</f>
        <v>2845522.3880597018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Clayton Silva</cp:lastModifiedBy>
  <cp:revision/>
  <dcterms:created xsi:type="dcterms:W3CDTF">2026-08-18T00:09:50Z</dcterms:created>
  <dcterms:modified xsi:type="dcterms:W3CDTF">2026-08-18T12:18:18Z</dcterms:modified>
  <cp:category/>
  <cp:contentStatus/>
</cp:coreProperties>
</file>