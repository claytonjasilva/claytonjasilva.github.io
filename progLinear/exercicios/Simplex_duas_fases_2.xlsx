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ef9a7b83f2ddc4/Arquivo_pessoal/Ensino/programacao-linear/"/>
    </mc:Choice>
  </mc:AlternateContent>
  <xr:revisionPtr revIDLastSave="762" documentId="8_{10D4449C-708C-42DB-9081-ACFF8956C39B}" xr6:coauthVersionLast="47" xr6:coauthVersionMax="47" xr10:uidLastSave="{40A79F1E-124C-40B6-92FE-B924155E133B}"/>
  <bookViews>
    <workbookView xWindow="-108" yWindow="-108" windowWidth="23256" windowHeight="12456" activeTab="1" xr2:uid="{F3C3C58E-ED1D-4D2E-BCE5-E3214E2C89B9}"/>
  </bookViews>
  <sheets>
    <sheet name="Exemplo1-completo" sheetId="1" r:id="rId1"/>
    <sheet name="Exemplo2-completo" sheetId="2" r:id="rId2"/>
    <sheet name="Exemplo3-completo" sheetId="3" r:id="rId3"/>
  </sheets>
  <definedNames>
    <definedName name="solver_adj" localSheetId="1" hidden="1">'Exemplo2-completo'!$B$4:$C$4</definedName>
    <definedName name="solver_adj" localSheetId="2" hidden="1">'Exemplo3-completo'!$B$3:$C$3</definedName>
    <definedName name="solver_cvg" localSheetId="1" hidden="1">0.0001</definedName>
    <definedName name="solver_cvg" localSheetId="2" hidden="1">0.0001</definedName>
    <definedName name="solver_drv" localSheetId="1" hidden="1">2</definedName>
    <definedName name="solver_drv" localSheetId="2" hidden="1">1</definedName>
    <definedName name="solver_eng" localSheetId="1" hidden="1">2</definedName>
    <definedName name="solver_eng" localSheetId="2" hidden="1">2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'Exemplo2-completo'!$E$7</definedName>
    <definedName name="solver_lhs1" localSheetId="2" hidden="1">'Exemplo3-completo'!$E$6</definedName>
    <definedName name="solver_lhs2" localSheetId="1" hidden="1">'Exemplo2-completo'!$E$8</definedName>
    <definedName name="solver_lhs2" localSheetId="2" hidden="1">'Exemplo3-completo'!$E$7</definedName>
    <definedName name="solver_lhs3" localSheetId="1" hidden="1">'Exemplo2-completo'!$E$9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3</definedName>
    <definedName name="solver_num" localSheetId="2" hidden="1">2</definedName>
    <definedName name="solver_nwt" localSheetId="1" hidden="1">1</definedName>
    <definedName name="solver_nwt" localSheetId="2" hidden="1">1</definedName>
    <definedName name="solver_opt" localSheetId="1" hidden="1">'Exemplo2-completo'!$E$4</definedName>
    <definedName name="solver_opt" localSheetId="2" hidden="1">'Exemplo3-completo'!$E$3</definedName>
    <definedName name="solver_pre" localSheetId="1" hidden="1">0.000001</definedName>
    <definedName name="solver_pre" localSheetId="2" hidden="1">0.000001</definedName>
    <definedName name="solver_rbv" localSheetId="1" hidden="1">2</definedName>
    <definedName name="solver_rbv" localSheetId="2" hidden="1">1</definedName>
    <definedName name="solver_rel1" localSheetId="1" hidden="1">3</definedName>
    <definedName name="solver_rel1" localSheetId="2" hidden="1">3</definedName>
    <definedName name="solver_rel2" localSheetId="1" hidden="1">2</definedName>
    <definedName name="solver_rel2" localSheetId="2" hidden="1">2</definedName>
    <definedName name="solver_rel3" localSheetId="1" hidden="1">1</definedName>
    <definedName name="solver_rhs1" localSheetId="1" hidden="1">'Exemplo2-completo'!$F$7</definedName>
    <definedName name="solver_rhs1" localSheetId="2" hidden="1">'Exemplo3-completo'!$F$6</definedName>
    <definedName name="solver_rhs2" localSheetId="1" hidden="1">'Exemplo2-completo'!$F$8</definedName>
    <definedName name="solver_rhs2" localSheetId="2" hidden="1">'Exemplo3-completo'!$F$7</definedName>
    <definedName name="solver_rhs3" localSheetId="1" hidden="1">'Exemplo2-completo'!$F$9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2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1" i="3" l="1"/>
  <c r="F30" i="3"/>
  <c r="D30" i="3"/>
  <c r="I25" i="3"/>
  <c r="H25" i="3"/>
  <c r="G25" i="3"/>
  <c r="E25" i="3"/>
  <c r="D25" i="3"/>
  <c r="F24" i="3"/>
  <c r="G24" i="3"/>
  <c r="H24" i="3"/>
  <c r="I24" i="3"/>
  <c r="D24" i="3"/>
  <c r="D22" i="3"/>
  <c r="F22" i="3"/>
  <c r="G22" i="3"/>
  <c r="H22" i="3"/>
  <c r="D23" i="3"/>
  <c r="F23" i="3"/>
  <c r="G23" i="3"/>
  <c r="H23" i="3"/>
  <c r="E23" i="3"/>
  <c r="K17" i="3"/>
  <c r="K16" i="3"/>
  <c r="I19" i="3"/>
  <c r="H19" i="3"/>
  <c r="G19" i="3"/>
  <c r="F19" i="3"/>
  <c r="E19" i="3"/>
  <c r="D19" i="3"/>
  <c r="I18" i="3"/>
  <c r="H18" i="3"/>
  <c r="G18" i="3"/>
  <c r="F18" i="3"/>
  <c r="E18" i="3"/>
  <c r="D18" i="3"/>
  <c r="E17" i="3"/>
  <c r="F17" i="3"/>
  <c r="G17" i="3"/>
  <c r="H17" i="3"/>
  <c r="I17" i="3"/>
  <c r="D17" i="3"/>
  <c r="E16" i="3"/>
  <c r="F16" i="3"/>
  <c r="G16" i="3"/>
  <c r="H16" i="3"/>
  <c r="I16" i="3"/>
  <c r="D16" i="3"/>
  <c r="K11" i="3"/>
  <c r="K10" i="3"/>
  <c r="E7" i="3"/>
  <c r="E6" i="3"/>
  <c r="E3" i="3"/>
  <c r="E9" i="2"/>
  <c r="E8" i="2"/>
  <c r="E7" i="2"/>
  <c r="G38" i="2"/>
  <c r="F38" i="2"/>
  <c r="E38" i="2"/>
  <c r="D38" i="2"/>
  <c r="H37" i="2"/>
  <c r="G37" i="2"/>
  <c r="F37" i="2"/>
  <c r="E37" i="2"/>
  <c r="D37" i="2"/>
  <c r="J31" i="2"/>
  <c r="I31" i="2"/>
  <c r="H31" i="2"/>
  <c r="G31" i="2"/>
  <c r="F31" i="2"/>
  <c r="E31" i="2"/>
  <c r="D31" i="2"/>
  <c r="E30" i="2"/>
  <c r="F30" i="2"/>
  <c r="G30" i="2"/>
  <c r="H30" i="2"/>
  <c r="I30" i="2"/>
  <c r="J30" i="2"/>
  <c r="D30" i="2"/>
  <c r="D29" i="2"/>
  <c r="F29" i="2"/>
  <c r="G29" i="2"/>
  <c r="H29" i="2"/>
  <c r="I29" i="2"/>
  <c r="J29" i="2"/>
  <c r="D27" i="2"/>
  <c r="F27" i="2"/>
  <c r="G27" i="2"/>
  <c r="H27" i="2"/>
  <c r="I27" i="2"/>
  <c r="J27" i="2"/>
  <c r="D28" i="2"/>
  <c r="F28" i="2"/>
  <c r="G28" i="2"/>
  <c r="H28" i="2"/>
  <c r="I28" i="2"/>
  <c r="J28" i="2"/>
  <c r="L21" i="2"/>
  <c r="L22" i="2"/>
  <c r="L20" i="2"/>
  <c r="J24" i="2"/>
  <c r="I24" i="2"/>
  <c r="H24" i="2"/>
  <c r="G24" i="2"/>
  <c r="F24" i="2"/>
  <c r="E24" i="2"/>
  <c r="D24" i="2"/>
  <c r="E23" i="2"/>
  <c r="F23" i="2"/>
  <c r="G23" i="2"/>
  <c r="H23" i="2"/>
  <c r="I23" i="2"/>
  <c r="J23" i="2"/>
  <c r="D23" i="2"/>
  <c r="E22" i="2"/>
  <c r="F22" i="2"/>
  <c r="G22" i="2"/>
  <c r="H22" i="2"/>
  <c r="I22" i="2"/>
  <c r="J22" i="2"/>
  <c r="D22" i="2"/>
  <c r="E21" i="2"/>
  <c r="F21" i="2"/>
  <c r="G21" i="2"/>
  <c r="H21" i="2"/>
  <c r="I21" i="2"/>
  <c r="J21" i="2"/>
  <c r="D21" i="2"/>
  <c r="E20" i="2"/>
  <c r="F20" i="2"/>
  <c r="G20" i="2"/>
  <c r="H20" i="2"/>
  <c r="I20" i="2"/>
  <c r="J20" i="2"/>
  <c r="D20" i="2"/>
  <c r="L15" i="2"/>
  <c r="L14" i="2"/>
  <c r="L13" i="2"/>
  <c r="E4" i="2"/>
  <c r="I20" i="1"/>
  <c r="I19" i="1"/>
  <c r="K12" i="1"/>
  <c r="K13" i="1"/>
  <c r="D17" i="1"/>
  <c r="D19" i="1" s="1"/>
  <c r="D20" i="1" s="1"/>
  <c r="E17" i="1"/>
  <c r="E19" i="1" s="1"/>
  <c r="E20" i="1" s="1"/>
  <c r="F17" i="1"/>
  <c r="F19" i="1" s="1"/>
  <c r="F20" i="1" s="1"/>
  <c r="G17" i="1"/>
  <c r="H17" i="1"/>
  <c r="I17" i="1"/>
  <c r="D18" i="1"/>
  <c r="E18" i="1"/>
  <c r="F18" i="1"/>
  <c r="G18" i="1"/>
  <c r="H18" i="1"/>
  <c r="H19" i="1" s="1"/>
  <c r="H20" i="1" s="1"/>
  <c r="I18" i="1"/>
  <c r="G19" i="1"/>
  <c r="G20" i="1" s="1"/>
  <c r="F4" i="1"/>
</calcChain>
</file>

<file path=xl/sharedStrings.xml><?xml version="1.0" encoding="utf-8"?>
<sst xmlns="http://schemas.openxmlformats.org/spreadsheetml/2006/main" count="159" uniqueCount="32">
  <si>
    <t>Maximizar</t>
  </si>
  <si>
    <t>x1</t>
  </si>
  <si>
    <t>x2</t>
  </si>
  <si>
    <t>Decisão</t>
  </si>
  <si>
    <t>Z</t>
  </si>
  <si>
    <t>Sujeito a</t>
  </si>
  <si>
    <t>Restrições</t>
  </si>
  <si>
    <t>&lt;=</t>
  </si>
  <si>
    <t>&gt;=</t>
  </si>
  <si>
    <t>Minimizar</t>
  </si>
  <si>
    <t>FASE 1</t>
  </si>
  <si>
    <t>Base</t>
  </si>
  <si>
    <t>Coeficientes</t>
  </si>
  <si>
    <t>e</t>
  </si>
  <si>
    <t>a</t>
  </si>
  <si>
    <t>f</t>
  </si>
  <si>
    <t>b</t>
  </si>
  <si>
    <t>W</t>
  </si>
  <si>
    <t>C-W</t>
  </si>
  <si>
    <t>razão</t>
  </si>
  <si>
    <t>L1'=L1/3</t>
  </si>
  <si>
    <t>L2'=L2-L1</t>
  </si>
  <si>
    <t>INVIÁVEL</t>
  </si>
  <si>
    <t>x</t>
  </si>
  <si>
    <t>y</t>
  </si>
  <si>
    <t>=</t>
  </si>
  <si>
    <t>a1</t>
  </si>
  <si>
    <t>a2</t>
  </si>
  <si>
    <t>FASE 2</t>
  </si>
  <si>
    <t>C-Z</t>
  </si>
  <si>
    <t>variáveis</t>
  </si>
  <si>
    <t>W-C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</si>
</sst>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  <xf numFmtId="0" fontId="0" fillId="0" borderId="0" xfId="0" quotePrefix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97EF0-FE72-442C-9BD4-1073FF9FEE2F}">
  <dimension ref="A2:M20"/>
  <sheetViews>
    <sheetView workbookViewId="0">
      <selection activeCell="M18" sqref="M18"/>
    </sheetView>
  </sheetViews>
  <sheetFormatPr defaultRowHeight="14.4" x14ac:dyDescent="0.3"/>
  <cols>
    <col min="1" max="1" width="11.44140625" customWidth="1"/>
    <col min="3" max="3" width="11.5546875" customWidth="1"/>
  </cols>
  <sheetData>
    <row r="2" spans="1:11" x14ac:dyDescent="0.3">
      <c r="B2" s="2" t="s">
        <v>1</v>
      </c>
      <c r="C2" s="2" t="s">
        <v>2</v>
      </c>
    </row>
    <row r="3" spans="1:11" x14ac:dyDescent="0.3">
      <c r="A3" s="1" t="s">
        <v>9</v>
      </c>
      <c r="B3">
        <v>6</v>
      </c>
      <c r="C3">
        <v>8</v>
      </c>
    </row>
    <row r="4" spans="1:11" x14ac:dyDescent="0.3">
      <c r="A4" s="1" t="s">
        <v>3</v>
      </c>
      <c r="B4">
        <v>1</v>
      </c>
      <c r="C4">
        <v>1</v>
      </c>
      <c r="E4" t="s">
        <v>4</v>
      </c>
      <c r="F4">
        <f>SUMPRODUCT(B3:C3,B4:C4)</f>
        <v>14</v>
      </c>
    </row>
    <row r="5" spans="1:11" x14ac:dyDescent="0.3">
      <c r="A5" s="1" t="s">
        <v>5</v>
      </c>
    </row>
    <row r="6" spans="1:11" x14ac:dyDescent="0.3">
      <c r="A6" s="1" t="s">
        <v>6</v>
      </c>
    </row>
    <row r="7" spans="1:11" x14ac:dyDescent="0.3">
      <c r="B7">
        <v>2</v>
      </c>
      <c r="C7">
        <v>3</v>
      </c>
      <c r="D7" t="s">
        <v>7</v>
      </c>
      <c r="E7">
        <v>4</v>
      </c>
    </row>
    <row r="8" spans="1:11" x14ac:dyDescent="0.3">
      <c r="B8">
        <v>1</v>
      </c>
      <c r="C8">
        <v>3</v>
      </c>
      <c r="D8" t="s">
        <v>8</v>
      </c>
      <c r="E8">
        <v>10</v>
      </c>
    </row>
    <row r="10" spans="1:11" x14ac:dyDescent="0.3">
      <c r="A10" t="s">
        <v>10</v>
      </c>
    </row>
    <row r="11" spans="1:11" x14ac:dyDescent="0.3">
      <c r="B11" s="2" t="s">
        <v>11</v>
      </c>
      <c r="C11" s="2" t="s">
        <v>12</v>
      </c>
      <c r="D11" s="2" t="s">
        <v>1</v>
      </c>
      <c r="E11" s="2" t="s">
        <v>2</v>
      </c>
      <c r="F11" s="2" t="s">
        <v>15</v>
      </c>
      <c r="G11" s="2" t="s">
        <v>13</v>
      </c>
      <c r="H11" s="2" t="s">
        <v>14</v>
      </c>
      <c r="I11" s="2" t="s">
        <v>16</v>
      </c>
      <c r="K11" s="2" t="s">
        <v>19</v>
      </c>
    </row>
    <row r="12" spans="1:11" x14ac:dyDescent="0.3">
      <c r="B12" t="s">
        <v>15</v>
      </c>
      <c r="C12">
        <v>0</v>
      </c>
      <c r="D12">
        <v>2</v>
      </c>
      <c r="E12" s="3">
        <v>3</v>
      </c>
      <c r="F12">
        <v>1</v>
      </c>
      <c r="G12">
        <v>0</v>
      </c>
      <c r="H12">
        <v>0</v>
      </c>
      <c r="I12">
        <v>4</v>
      </c>
      <c r="K12">
        <f>I12/E12</f>
        <v>1.3333333333333333</v>
      </c>
    </row>
    <row r="13" spans="1:11" x14ac:dyDescent="0.3">
      <c r="B13" t="s">
        <v>14</v>
      </c>
      <c r="C13">
        <v>0</v>
      </c>
      <c r="D13">
        <v>1</v>
      </c>
      <c r="E13">
        <v>3</v>
      </c>
      <c r="F13">
        <v>0</v>
      </c>
      <c r="G13">
        <v>-1</v>
      </c>
      <c r="H13">
        <v>1</v>
      </c>
      <c r="I13">
        <v>10</v>
      </c>
      <c r="K13">
        <f>I13/E13</f>
        <v>3.3333333333333335</v>
      </c>
    </row>
    <row r="14" spans="1:11" x14ac:dyDescent="0.3">
      <c r="C14" t="s">
        <v>17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1" x14ac:dyDescent="0.3">
      <c r="C15" t="s">
        <v>18</v>
      </c>
      <c r="D15">
        <v>3</v>
      </c>
      <c r="E15" s="3">
        <v>6</v>
      </c>
      <c r="F15">
        <v>0</v>
      </c>
      <c r="G15">
        <v>-1</v>
      </c>
      <c r="H15">
        <v>0</v>
      </c>
      <c r="I15">
        <v>14</v>
      </c>
    </row>
    <row r="17" spans="2:13" x14ac:dyDescent="0.3">
      <c r="B17" t="s">
        <v>2</v>
      </c>
      <c r="C17">
        <v>6</v>
      </c>
      <c r="D17">
        <f>D12/3</f>
        <v>0.66666666666666663</v>
      </c>
      <c r="E17">
        <f t="shared" ref="E17:I17" si="0">E12/3</f>
        <v>1</v>
      </c>
      <c r="F17">
        <f t="shared" si="0"/>
        <v>0.33333333333333331</v>
      </c>
      <c r="G17">
        <f t="shared" si="0"/>
        <v>0</v>
      </c>
      <c r="H17">
        <f t="shared" si="0"/>
        <v>0</v>
      </c>
      <c r="I17">
        <f t="shared" si="0"/>
        <v>1.3333333333333333</v>
      </c>
      <c r="K17" t="s">
        <v>20</v>
      </c>
    </row>
    <row r="18" spans="2:13" x14ac:dyDescent="0.3">
      <c r="B18" s="3" t="s">
        <v>14</v>
      </c>
      <c r="C18">
        <v>0</v>
      </c>
      <c r="D18">
        <f>D13-D12</f>
        <v>-1</v>
      </c>
      <c r="E18">
        <f t="shared" ref="E18:I18" si="1">E13-E12</f>
        <v>0</v>
      </c>
      <c r="F18">
        <f t="shared" si="1"/>
        <v>-1</v>
      </c>
      <c r="G18">
        <f t="shared" si="1"/>
        <v>-1</v>
      </c>
      <c r="H18">
        <f t="shared" si="1"/>
        <v>1</v>
      </c>
      <c r="I18" s="3">
        <f t="shared" si="1"/>
        <v>6</v>
      </c>
      <c r="K18" t="s">
        <v>21</v>
      </c>
      <c r="M18" s="3" t="s">
        <v>22</v>
      </c>
    </row>
    <row r="19" spans="2:13" x14ac:dyDescent="0.3">
      <c r="C19" t="s">
        <v>17</v>
      </c>
      <c r="D19">
        <f>SUMPRODUCT($C$17:$C$18,D17:D18)</f>
        <v>4</v>
      </c>
      <c r="E19">
        <f t="shared" ref="E19:I19" si="2">SUMPRODUCT($C$17:$C$18,E17:E18)</f>
        <v>6</v>
      </c>
      <c r="F19">
        <f t="shared" si="2"/>
        <v>2</v>
      </c>
      <c r="G19">
        <f t="shared" si="2"/>
        <v>0</v>
      </c>
      <c r="H19">
        <f t="shared" si="2"/>
        <v>0</v>
      </c>
      <c r="I19">
        <f>SUMPRODUCT(C17:C18,I17:I18)</f>
        <v>8</v>
      </c>
    </row>
    <row r="20" spans="2:13" x14ac:dyDescent="0.3">
      <c r="C20" t="s">
        <v>18</v>
      </c>
      <c r="D20">
        <f>3-D19</f>
        <v>-1</v>
      </c>
      <c r="E20">
        <f>6-E19</f>
        <v>0</v>
      </c>
      <c r="F20">
        <f>0-F19</f>
        <v>-2</v>
      </c>
      <c r="G20">
        <f>-1-G19</f>
        <v>-1</v>
      </c>
      <c r="H20">
        <f>0-H19</f>
        <v>0</v>
      </c>
      <c r="I20">
        <f>14-I19</f>
        <v>6</v>
      </c>
    </row>
  </sheetData>
  <pageMargins left="0.511811024" right="0.511811024" top="0.78740157499999996" bottom="0.78740157499999996" header="0.31496062000000002" footer="0.31496062000000002"/>
  <ignoredErrors>
    <ignoredError sqref="G2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2A85-E5C4-42D4-BB79-BB69C9176D9C}">
  <dimension ref="A2:L43"/>
  <sheetViews>
    <sheetView tabSelected="1" zoomScale="90" zoomScaleNormal="90" workbookViewId="0">
      <selection activeCell="N20" sqref="N20"/>
    </sheetView>
  </sheetViews>
  <sheetFormatPr defaultRowHeight="14.4" x14ac:dyDescent="0.3"/>
  <cols>
    <col min="1" max="1" width="10.44140625" customWidth="1"/>
    <col min="3" max="3" width="13.33203125" customWidth="1"/>
    <col min="5" max="5" width="12.6640625" bestFit="1" customWidth="1"/>
  </cols>
  <sheetData>
    <row r="2" spans="1:12" x14ac:dyDescent="0.3">
      <c r="A2" t="s">
        <v>0</v>
      </c>
      <c r="B2" s="2" t="s">
        <v>1</v>
      </c>
      <c r="C2" s="2" t="s">
        <v>2</v>
      </c>
    </row>
    <row r="3" spans="1:12" x14ac:dyDescent="0.3">
      <c r="B3">
        <v>1</v>
      </c>
      <c r="C3">
        <v>3</v>
      </c>
    </row>
    <row r="4" spans="1:12" x14ac:dyDescent="0.3">
      <c r="A4" t="s">
        <v>3</v>
      </c>
      <c r="B4">
        <v>7.5384615384615383</v>
      </c>
      <c r="C4">
        <v>6.3076923076923084</v>
      </c>
      <c r="D4" t="s">
        <v>4</v>
      </c>
      <c r="E4">
        <f>SUMPRODUCT(B3:C3,B4:C4)</f>
        <v>26.461538461538467</v>
      </c>
    </row>
    <row r="6" spans="1:12" x14ac:dyDescent="0.3">
      <c r="A6" t="s">
        <v>5</v>
      </c>
    </row>
    <row r="7" spans="1:12" x14ac:dyDescent="0.3">
      <c r="B7">
        <v>3</v>
      </c>
      <c r="C7">
        <v>-2</v>
      </c>
      <c r="D7" t="s">
        <v>8</v>
      </c>
      <c r="E7">
        <f>SUMPRODUCT(B4:C4,B7:C7)</f>
        <v>9.9999999999999964</v>
      </c>
      <c r="F7">
        <v>10</v>
      </c>
    </row>
    <row r="8" spans="1:12" x14ac:dyDescent="0.3">
      <c r="B8">
        <v>2</v>
      </c>
      <c r="C8">
        <v>3</v>
      </c>
      <c r="D8" s="4" t="s">
        <v>25</v>
      </c>
      <c r="E8">
        <f>SUMPRODUCT(B4:C4,B8:C8)</f>
        <v>34</v>
      </c>
      <c r="F8">
        <v>34</v>
      </c>
    </row>
    <row r="9" spans="1:12" x14ac:dyDescent="0.3">
      <c r="B9">
        <v>4</v>
      </c>
      <c r="C9">
        <v>2</v>
      </c>
      <c r="D9" t="s">
        <v>7</v>
      </c>
      <c r="E9">
        <f>SUMPRODUCT(B4:C4,B9:C9)</f>
        <v>42.769230769230774</v>
      </c>
      <c r="F9">
        <v>104</v>
      </c>
    </row>
    <row r="12" spans="1:12" s="5" customFormat="1" x14ac:dyDescent="0.3">
      <c r="A12" s="5" t="s">
        <v>10</v>
      </c>
      <c r="B12" s="5" t="s">
        <v>11</v>
      </c>
      <c r="C12" s="5" t="s">
        <v>12</v>
      </c>
      <c r="D12" s="3" t="s">
        <v>1</v>
      </c>
      <c r="E12" s="5" t="s">
        <v>2</v>
      </c>
      <c r="F12" s="5" t="s">
        <v>13</v>
      </c>
      <c r="G12" s="5" t="s">
        <v>26</v>
      </c>
      <c r="H12" s="5" t="s">
        <v>27</v>
      </c>
      <c r="I12" s="5" t="s">
        <v>15</v>
      </c>
      <c r="J12" s="5" t="s">
        <v>16</v>
      </c>
      <c r="L12" s="5" t="s">
        <v>19</v>
      </c>
    </row>
    <row r="13" spans="1:12" s="5" customFormat="1" x14ac:dyDescent="0.3">
      <c r="B13" s="5" t="s">
        <v>26</v>
      </c>
      <c r="C13" s="5">
        <v>0</v>
      </c>
      <c r="D13" s="3">
        <v>3</v>
      </c>
      <c r="E13" s="5">
        <v>-2</v>
      </c>
      <c r="F13" s="5">
        <v>-1</v>
      </c>
      <c r="G13" s="5">
        <v>1</v>
      </c>
      <c r="H13" s="5">
        <v>0</v>
      </c>
      <c r="I13" s="5">
        <v>0</v>
      </c>
      <c r="J13" s="5">
        <v>10</v>
      </c>
      <c r="L13" s="5">
        <f>J13/D13</f>
        <v>3.3333333333333335</v>
      </c>
    </row>
    <row r="14" spans="1:12" s="5" customFormat="1" x14ac:dyDescent="0.3">
      <c r="B14" s="5" t="s">
        <v>27</v>
      </c>
      <c r="C14" s="5">
        <v>0</v>
      </c>
      <c r="D14" s="5">
        <v>2</v>
      </c>
      <c r="E14" s="5">
        <v>3</v>
      </c>
      <c r="F14" s="5">
        <v>0</v>
      </c>
      <c r="G14" s="5">
        <v>0</v>
      </c>
      <c r="H14" s="5">
        <v>1</v>
      </c>
      <c r="I14" s="5">
        <v>0</v>
      </c>
      <c r="J14" s="5">
        <v>34</v>
      </c>
      <c r="L14" s="5">
        <f>J14/D14</f>
        <v>17</v>
      </c>
    </row>
    <row r="15" spans="1:12" s="5" customFormat="1" x14ac:dyDescent="0.3">
      <c r="B15" s="5" t="s">
        <v>15</v>
      </c>
      <c r="C15" s="5">
        <v>0</v>
      </c>
      <c r="D15" s="5">
        <v>4</v>
      </c>
      <c r="E15" s="5">
        <v>2</v>
      </c>
      <c r="F15" s="5">
        <v>0</v>
      </c>
      <c r="G15" s="5">
        <v>0</v>
      </c>
      <c r="H15" s="5">
        <v>0</v>
      </c>
      <c r="I15" s="5">
        <v>1</v>
      </c>
      <c r="J15" s="5">
        <v>104</v>
      </c>
      <c r="L15" s="5">
        <f>J15/D15</f>
        <v>26</v>
      </c>
    </row>
    <row r="16" spans="1:12" s="5" customFormat="1" x14ac:dyDescent="0.3">
      <c r="C16" s="5" t="s">
        <v>17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2:12" s="5" customFormat="1" x14ac:dyDescent="0.3">
      <c r="C17" s="5" t="s">
        <v>18</v>
      </c>
      <c r="D17" s="3">
        <v>9</v>
      </c>
      <c r="E17" s="5">
        <v>3</v>
      </c>
      <c r="F17" s="5">
        <v>-1</v>
      </c>
      <c r="G17" s="5">
        <v>0</v>
      </c>
      <c r="H17" s="5">
        <v>0</v>
      </c>
      <c r="I17" s="5">
        <v>0</v>
      </c>
      <c r="J17" s="5">
        <v>148</v>
      </c>
    </row>
    <row r="18" spans="2:12" s="5" customFormat="1" x14ac:dyDescent="0.3"/>
    <row r="19" spans="2:12" x14ac:dyDescent="0.3">
      <c r="B19" s="5" t="s">
        <v>11</v>
      </c>
      <c r="C19" s="5" t="s">
        <v>12</v>
      </c>
      <c r="D19" s="5" t="s">
        <v>1</v>
      </c>
      <c r="E19" s="3" t="s">
        <v>2</v>
      </c>
      <c r="F19" s="5" t="s">
        <v>13</v>
      </c>
      <c r="G19" s="5" t="s">
        <v>26</v>
      </c>
      <c r="H19" s="5" t="s">
        <v>27</v>
      </c>
      <c r="I19" s="5" t="s">
        <v>15</v>
      </c>
      <c r="J19" s="5" t="s">
        <v>16</v>
      </c>
      <c r="L19" t="s">
        <v>19</v>
      </c>
    </row>
    <row r="20" spans="2:12" x14ac:dyDescent="0.3">
      <c r="B20" t="s">
        <v>1</v>
      </c>
      <c r="C20">
        <v>9</v>
      </c>
      <c r="D20">
        <f>D13/3</f>
        <v>1</v>
      </c>
      <c r="E20">
        <f t="shared" ref="E20:J20" si="0">E13/3</f>
        <v>-0.66666666666666663</v>
      </c>
      <c r="F20">
        <f t="shared" si="0"/>
        <v>-0.33333333333333331</v>
      </c>
      <c r="G20">
        <f t="shared" si="0"/>
        <v>0.33333333333333331</v>
      </c>
      <c r="H20">
        <f t="shared" si="0"/>
        <v>0</v>
      </c>
      <c r="I20">
        <f t="shared" si="0"/>
        <v>0</v>
      </c>
      <c r="J20">
        <f t="shared" si="0"/>
        <v>3.3333333333333335</v>
      </c>
      <c r="L20">
        <f>J20/E20</f>
        <v>-5.0000000000000009</v>
      </c>
    </row>
    <row r="21" spans="2:12" x14ac:dyDescent="0.3">
      <c r="B21" t="s">
        <v>27</v>
      </c>
      <c r="C21">
        <v>0</v>
      </c>
      <c r="D21">
        <f>D20*-2+D14</f>
        <v>0</v>
      </c>
      <c r="E21" s="3">
        <f t="shared" ref="E21:J21" si="1">E20*-2+E14</f>
        <v>4.333333333333333</v>
      </c>
      <c r="F21">
        <f t="shared" si="1"/>
        <v>0.66666666666666663</v>
      </c>
      <c r="G21">
        <f t="shared" si="1"/>
        <v>-0.66666666666666663</v>
      </c>
      <c r="H21">
        <f t="shared" si="1"/>
        <v>1</v>
      </c>
      <c r="I21">
        <f t="shared" si="1"/>
        <v>0</v>
      </c>
      <c r="J21">
        <f t="shared" si="1"/>
        <v>27.333333333333332</v>
      </c>
      <c r="L21">
        <f t="shared" ref="L21:L22" si="2">J21/E21</f>
        <v>6.3076923076923075</v>
      </c>
    </row>
    <row r="22" spans="2:12" x14ac:dyDescent="0.3">
      <c r="B22" t="s">
        <v>15</v>
      </c>
      <c r="C22">
        <v>0</v>
      </c>
      <c r="D22">
        <f>D20*-4+D15</f>
        <v>0</v>
      </c>
      <c r="E22">
        <f t="shared" ref="E22:J22" si="3">E20*-4+E15</f>
        <v>4.6666666666666661</v>
      </c>
      <c r="F22">
        <f t="shared" si="3"/>
        <v>1.3333333333333333</v>
      </c>
      <c r="G22">
        <f t="shared" si="3"/>
        <v>-1.3333333333333333</v>
      </c>
      <c r="H22">
        <f t="shared" si="3"/>
        <v>0</v>
      </c>
      <c r="I22">
        <f t="shared" si="3"/>
        <v>1</v>
      </c>
      <c r="J22">
        <f t="shared" si="3"/>
        <v>90.666666666666671</v>
      </c>
      <c r="L22">
        <f t="shared" si="2"/>
        <v>19.428571428571431</v>
      </c>
    </row>
    <row r="23" spans="2:12" x14ac:dyDescent="0.3">
      <c r="C23" t="s">
        <v>17</v>
      </c>
      <c r="D23">
        <f>SUMPRODUCT($C$20:$C$22,D20:D22)</f>
        <v>9</v>
      </c>
      <c r="E23">
        <f t="shared" ref="E23:J23" si="4">SUMPRODUCT($C$20:$C$22,E20:E22)</f>
        <v>-6</v>
      </c>
      <c r="F23">
        <f t="shared" si="4"/>
        <v>-3</v>
      </c>
      <c r="G23">
        <f t="shared" si="4"/>
        <v>3</v>
      </c>
      <c r="H23">
        <f t="shared" si="4"/>
        <v>0</v>
      </c>
      <c r="I23">
        <f t="shared" si="4"/>
        <v>0</v>
      </c>
      <c r="J23">
        <f t="shared" si="4"/>
        <v>30</v>
      </c>
    </row>
    <row r="24" spans="2:12" x14ac:dyDescent="0.3">
      <c r="C24" t="s">
        <v>18</v>
      </c>
      <c r="D24">
        <f>9-D23</f>
        <v>0</v>
      </c>
      <c r="E24" s="3">
        <f>3-E23</f>
        <v>9</v>
      </c>
      <c r="F24">
        <f>-1-F23</f>
        <v>2</v>
      </c>
      <c r="G24">
        <f>0-G23</f>
        <v>-3</v>
      </c>
      <c r="H24">
        <f>0-H23</f>
        <v>0</v>
      </c>
      <c r="I24">
        <f>0-I23</f>
        <v>0</v>
      </c>
      <c r="J24">
        <f>148-J23</f>
        <v>118</v>
      </c>
    </row>
    <row r="26" spans="2:12" x14ac:dyDescent="0.3">
      <c r="B26" s="5" t="s">
        <v>11</v>
      </c>
      <c r="C26" s="5" t="s">
        <v>12</v>
      </c>
      <c r="D26" s="5" t="s">
        <v>1</v>
      </c>
      <c r="E26" s="5" t="s">
        <v>2</v>
      </c>
      <c r="F26" s="5" t="s">
        <v>13</v>
      </c>
      <c r="G26" s="5" t="s">
        <v>26</v>
      </c>
      <c r="H26" s="5" t="s">
        <v>27</v>
      </c>
      <c r="I26" s="5" t="s">
        <v>15</v>
      </c>
      <c r="J26" s="5" t="s">
        <v>16</v>
      </c>
    </row>
    <row r="27" spans="2:12" x14ac:dyDescent="0.3">
      <c r="B27" t="s">
        <v>1</v>
      </c>
      <c r="C27">
        <v>9</v>
      </c>
      <c r="D27">
        <f>D28*0.66666667+D20</f>
        <v>1</v>
      </c>
      <c r="E27">
        <v>0</v>
      </c>
      <c r="F27">
        <f t="shared" ref="F27:J27" si="5">F28*0.66666667+F20</f>
        <v>-0.23076922236686323</v>
      </c>
      <c r="G27">
        <f t="shared" si="5"/>
        <v>0.23076922236686323</v>
      </c>
      <c r="H27">
        <f t="shared" si="5"/>
        <v>0.15384616644970514</v>
      </c>
      <c r="I27">
        <f t="shared" si="5"/>
        <v>0</v>
      </c>
      <c r="J27">
        <f t="shared" si="5"/>
        <v>7.5384618829586074</v>
      </c>
    </row>
    <row r="28" spans="2:12" x14ac:dyDescent="0.3">
      <c r="B28" t="s">
        <v>2</v>
      </c>
      <c r="C28">
        <v>3</v>
      </c>
      <c r="D28">
        <f>D21/4.333333</f>
        <v>0</v>
      </c>
      <c r="E28">
        <v>1</v>
      </c>
      <c r="F28">
        <f t="shared" ref="F28:J28" si="6">F21/4.333333</f>
        <v>0.15384616568047429</v>
      </c>
      <c r="G28">
        <f t="shared" si="6"/>
        <v>-0.15384616568047429</v>
      </c>
      <c r="H28">
        <f t="shared" si="6"/>
        <v>0.23076924852071146</v>
      </c>
      <c r="I28">
        <f t="shared" si="6"/>
        <v>0</v>
      </c>
      <c r="J28">
        <f t="shared" si="6"/>
        <v>6.307692792899446</v>
      </c>
    </row>
    <row r="29" spans="2:12" x14ac:dyDescent="0.3">
      <c r="B29" t="s">
        <v>15</v>
      </c>
      <c r="C29">
        <v>0</v>
      </c>
      <c r="D29">
        <f>D28*-4.6666666+D22</f>
        <v>0</v>
      </c>
      <c r="E29">
        <v>0</v>
      </c>
      <c r="F29">
        <f t="shared" ref="F29:J29" si="7">F28*-4.6666666+F22</f>
        <v>0.61538457041419758</v>
      </c>
      <c r="G29">
        <f t="shared" si="7"/>
        <v>-0.61538457041419758</v>
      </c>
      <c r="H29">
        <f t="shared" si="7"/>
        <v>-1.0769231443787035</v>
      </c>
      <c r="I29">
        <f t="shared" si="7"/>
        <v>1</v>
      </c>
      <c r="J29">
        <f t="shared" si="7"/>
        <v>61.230767386982109</v>
      </c>
    </row>
    <row r="30" spans="2:12" x14ac:dyDescent="0.3">
      <c r="C30" t="s">
        <v>17</v>
      </c>
      <c r="D30">
        <f>SUMPRODUCT($C$27:$C$29,D27:D29)</f>
        <v>9</v>
      </c>
      <c r="E30">
        <f t="shared" ref="E30:J30" si="8">SUMPRODUCT($C$27:$C$29,E27:E29)</f>
        <v>3</v>
      </c>
      <c r="F30">
        <f t="shared" si="8"/>
        <v>-1.6153845042603463</v>
      </c>
      <c r="G30">
        <f t="shared" si="8"/>
        <v>1.6153845042603463</v>
      </c>
      <c r="H30">
        <f t="shared" si="8"/>
        <v>2.0769232436094804</v>
      </c>
      <c r="I30">
        <f t="shared" si="8"/>
        <v>0</v>
      </c>
      <c r="J30">
        <f t="shared" si="8"/>
        <v>86.769235325325809</v>
      </c>
    </row>
    <row r="31" spans="2:12" x14ac:dyDescent="0.3">
      <c r="C31" t="s">
        <v>18</v>
      </c>
      <c r="D31">
        <f>9-D30</f>
        <v>0</v>
      </c>
      <c r="E31">
        <f>3-E30</f>
        <v>0</v>
      </c>
      <c r="F31">
        <f>-1-F30</f>
        <v>0.6153845042603463</v>
      </c>
      <c r="G31">
        <f>0-G30</f>
        <v>-1.6153845042603463</v>
      </c>
      <c r="H31">
        <f>0-H30</f>
        <v>-2.0769232436094804</v>
      </c>
      <c r="I31">
        <f>0-I30</f>
        <v>0</v>
      </c>
      <c r="J31">
        <f>148-J30</f>
        <v>61.230764674674191</v>
      </c>
    </row>
    <row r="33" spans="1:8" x14ac:dyDescent="0.3">
      <c r="A33" t="s">
        <v>28</v>
      </c>
      <c r="B33" s="5" t="s">
        <v>11</v>
      </c>
      <c r="C33" s="5" t="s">
        <v>12</v>
      </c>
      <c r="D33" s="5" t="s">
        <v>1</v>
      </c>
      <c r="E33" s="5" t="s">
        <v>2</v>
      </c>
      <c r="F33" s="5" t="s">
        <v>13</v>
      </c>
      <c r="G33" s="5" t="s">
        <v>15</v>
      </c>
      <c r="H33" s="5" t="s">
        <v>16</v>
      </c>
    </row>
    <row r="34" spans="1:8" x14ac:dyDescent="0.3">
      <c r="B34" t="s">
        <v>1</v>
      </c>
      <c r="C34">
        <v>1</v>
      </c>
      <c r="D34">
        <v>1</v>
      </c>
      <c r="E34">
        <v>0</v>
      </c>
      <c r="F34">
        <v>-0.23076922236686323</v>
      </c>
      <c r="G34">
        <v>0</v>
      </c>
      <c r="H34">
        <v>7.5384618829586074</v>
      </c>
    </row>
    <row r="35" spans="1:8" x14ac:dyDescent="0.3">
      <c r="B35" t="s">
        <v>2</v>
      </c>
      <c r="C35">
        <v>3</v>
      </c>
      <c r="D35">
        <v>0</v>
      </c>
      <c r="E35">
        <v>1</v>
      </c>
      <c r="F35">
        <v>0.15384616568047429</v>
      </c>
      <c r="G35">
        <v>0</v>
      </c>
      <c r="H35">
        <v>6.307692792899446</v>
      </c>
    </row>
    <row r="36" spans="1:8" x14ac:dyDescent="0.3">
      <c r="B36" t="s">
        <v>15</v>
      </c>
      <c r="C36">
        <v>0</v>
      </c>
      <c r="D36">
        <v>0</v>
      </c>
      <c r="E36">
        <v>0</v>
      </c>
      <c r="F36">
        <v>0.61538457041419758</v>
      </c>
      <c r="G36">
        <v>1</v>
      </c>
      <c r="H36">
        <v>61.230767386982109</v>
      </c>
    </row>
    <row r="37" spans="1:8" x14ac:dyDescent="0.3">
      <c r="C37" t="s">
        <v>4</v>
      </c>
      <c r="D37">
        <f>SUMPRODUCT(C34:C36,D34:D36)</f>
        <v>1</v>
      </c>
      <c r="E37">
        <f>SUMPRODUCT(C34:C36,E34:E36)</f>
        <v>3</v>
      </c>
      <c r="F37">
        <f>SUMPRODUCT(C34:C36,F34:F36)</f>
        <v>0.23076927467455968</v>
      </c>
      <c r="G37">
        <f>SUMPRODUCT(C34:C36,G34:G36)</f>
        <v>0</v>
      </c>
      <c r="H37">
        <f>SUMPRODUCT(C34:C36,H34:H36)</f>
        <v>26.461540261656946</v>
      </c>
    </row>
    <row r="38" spans="1:8" x14ac:dyDescent="0.3">
      <c r="C38" t="s">
        <v>29</v>
      </c>
      <c r="D38">
        <f>1-D37</f>
        <v>0</v>
      </c>
      <c r="E38">
        <f>3-E37</f>
        <v>0</v>
      </c>
      <c r="F38">
        <f>-1-F37</f>
        <v>-1.2307692746745598</v>
      </c>
      <c r="G38">
        <f>0-G37</f>
        <v>0</v>
      </c>
    </row>
    <row r="40" spans="1:8" x14ac:dyDescent="0.3">
      <c r="B40" t="s">
        <v>1</v>
      </c>
      <c r="C40">
        <v>7.54</v>
      </c>
    </row>
    <row r="41" spans="1:8" x14ac:dyDescent="0.3">
      <c r="B41" t="s">
        <v>2</v>
      </c>
      <c r="C41">
        <v>6.3</v>
      </c>
    </row>
    <row r="42" spans="1:8" x14ac:dyDescent="0.3">
      <c r="B42" t="s">
        <v>15</v>
      </c>
      <c r="C42">
        <v>61.2</v>
      </c>
    </row>
    <row r="43" spans="1:8" x14ac:dyDescent="0.3">
      <c r="B43" t="s">
        <v>4</v>
      </c>
      <c r="C43">
        <v>26.5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D77C-6F5E-4652-A88E-ECC22BA3A9E6}">
  <dimension ref="A1:K31"/>
  <sheetViews>
    <sheetView workbookViewId="0">
      <selection activeCell="J15" sqref="J15"/>
    </sheetView>
  </sheetViews>
  <sheetFormatPr defaultRowHeight="14.4" x14ac:dyDescent="0.3"/>
  <cols>
    <col min="3" max="3" width="13.21875" customWidth="1"/>
    <col min="5" max="5" width="9.6640625" bestFit="1" customWidth="1"/>
  </cols>
  <sheetData>
    <row r="1" spans="1:11" x14ac:dyDescent="0.3">
      <c r="B1" t="s">
        <v>23</v>
      </c>
      <c r="C1" t="s">
        <v>24</v>
      </c>
    </row>
    <row r="2" spans="1:11" x14ac:dyDescent="0.3">
      <c r="A2" t="s">
        <v>0</v>
      </c>
      <c r="B2">
        <v>2</v>
      </c>
      <c r="C2">
        <v>7</v>
      </c>
    </row>
    <row r="3" spans="1:11" x14ac:dyDescent="0.3">
      <c r="A3" t="s">
        <v>30</v>
      </c>
      <c r="B3">
        <v>3.9999999999999982</v>
      </c>
      <c r="C3">
        <v>4.0000000000000018</v>
      </c>
      <c r="D3" t="s">
        <v>4</v>
      </c>
      <c r="E3">
        <f>SUMPRODUCT(B3:C3,B2:C2)</f>
        <v>36.000000000000014</v>
      </c>
    </row>
    <row r="5" spans="1:11" x14ac:dyDescent="0.3">
      <c r="A5" t="s">
        <v>5</v>
      </c>
    </row>
    <row r="6" spans="1:11" x14ac:dyDescent="0.3">
      <c r="B6">
        <v>3</v>
      </c>
      <c r="C6">
        <v>2</v>
      </c>
      <c r="D6" t="s">
        <v>8</v>
      </c>
      <c r="E6">
        <f>SUMPRODUCT(B3:C3,B6:C6)</f>
        <v>20</v>
      </c>
      <c r="F6">
        <v>20</v>
      </c>
    </row>
    <row r="7" spans="1:11" x14ac:dyDescent="0.3">
      <c r="B7">
        <v>4</v>
      </c>
      <c r="C7">
        <v>4</v>
      </c>
      <c r="D7" s="4" t="s">
        <v>25</v>
      </c>
      <c r="E7">
        <f>SUMPRODUCT(B3:C3,B7:C7)</f>
        <v>32</v>
      </c>
      <c r="F7">
        <v>32</v>
      </c>
    </row>
    <row r="9" spans="1:11" x14ac:dyDescent="0.3">
      <c r="A9" t="s">
        <v>10</v>
      </c>
      <c r="B9" t="s">
        <v>11</v>
      </c>
      <c r="C9" t="s">
        <v>12</v>
      </c>
      <c r="D9" s="3" t="s">
        <v>23</v>
      </c>
      <c r="E9" t="s">
        <v>24</v>
      </c>
      <c r="F9" t="s">
        <v>13</v>
      </c>
      <c r="G9" t="s">
        <v>26</v>
      </c>
      <c r="H9" t="s">
        <v>27</v>
      </c>
      <c r="I9" t="s">
        <v>16</v>
      </c>
      <c r="K9" t="s">
        <v>19</v>
      </c>
    </row>
    <row r="10" spans="1:11" x14ac:dyDescent="0.3">
      <c r="B10" t="s">
        <v>26</v>
      </c>
      <c r="C10">
        <v>0</v>
      </c>
      <c r="D10" s="3">
        <v>3</v>
      </c>
      <c r="E10">
        <v>2</v>
      </c>
      <c r="F10">
        <v>-1</v>
      </c>
      <c r="G10">
        <v>1</v>
      </c>
      <c r="H10">
        <v>0</v>
      </c>
      <c r="I10">
        <v>20</v>
      </c>
      <c r="K10">
        <f>I10/D10</f>
        <v>6.666666666666667</v>
      </c>
    </row>
    <row r="11" spans="1:11" x14ac:dyDescent="0.3">
      <c r="B11" t="s">
        <v>27</v>
      </c>
      <c r="C11">
        <v>0</v>
      </c>
      <c r="D11">
        <v>4</v>
      </c>
      <c r="E11">
        <v>4</v>
      </c>
      <c r="F11">
        <v>0</v>
      </c>
      <c r="G11">
        <v>0</v>
      </c>
      <c r="H11">
        <v>1</v>
      </c>
      <c r="I11">
        <v>32</v>
      </c>
      <c r="K11">
        <f>I11/D11</f>
        <v>8</v>
      </c>
    </row>
    <row r="12" spans="1:11" x14ac:dyDescent="0.3">
      <c r="C12" t="s">
        <v>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1" x14ac:dyDescent="0.3">
      <c r="C13" t="s">
        <v>31</v>
      </c>
      <c r="D13" s="3">
        <v>7</v>
      </c>
      <c r="E13">
        <v>6</v>
      </c>
      <c r="F13">
        <v>-1</v>
      </c>
      <c r="G13">
        <v>0</v>
      </c>
      <c r="H13">
        <v>0</v>
      </c>
      <c r="I13">
        <v>52</v>
      </c>
    </row>
    <row r="15" spans="1:11" x14ac:dyDescent="0.3">
      <c r="B15" s="5" t="s">
        <v>11</v>
      </c>
      <c r="C15" s="5" t="s">
        <v>12</v>
      </c>
      <c r="D15" s="5" t="s">
        <v>23</v>
      </c>
      <c r="E15" s="3" t="s">
        <v>24</v>
      </c>
      <c r="F15" s="5" t="s">
        <v>13</v>
      </c>
      <c r="G15" s="5" t="s">
        <v>26</v>
      </c>
      <c r="H15" s="5" t="s">
        <v>27</v>
      </c>
      <c r="I15" s="5" t="s">
        <v>16</v>
      </c>
      <c r="J15" s="5"/>
      <c r="K15" s="5" t="s">
        <v>19</v>
      </c>
    </row>
    <row r="16" spans="1:11" x14ac:dyDescent="0.3">
      <c r="B16" t="s">
        <v>23</v>
      </c>
      <c r="C16">
        <v>7</v>
      </c>
      <c r="D16">
        <f>D10/3</f>
        <v>1</v>
      </c>
      <c r="E16">
        <f t="shared" ref="E16:I16" si="0">E10/3</f>
        <v>0.66666666666666663</v>
      </c>
      <c r="F16">
        <f t="shared" si="0"/>
        <v>-0.33333333333333331</v>
      </c>
      <c r="G16">
        <f t="shared" si="0"/>
        <v>0.33333333333333331</v>
      </c>
      <c r="H16">
        <f t="shared" si="0"/>
        <v>0</v>
      </c>
      <c r="I16">
        <f t="shared" si="0"/>
        <v>6.666666666666667</v>
      </c>
      <c r="K16">
        <f>I16/E16</f>
        <v>10.000000000000002</v>
      </c>
    </row>
    <row r="17" spans="1:11" x14ac:dyDescent="0.3">
      <c r="B17" t="s">
        <v>27</v>
      </c>
      <c r="C17">
        <v>0</v>
      </c>
      <c r="D17">
        <f>D16*-4+D11</f>
        <v>0</v>
      </c>
      <c r="E17" s="3">
        <f t="shared" ref="E17:I17" si="1">E16*-4+E11</f>
        <v>1.3333333333333335</v>
      </c>
      <c r="F17">
        <f t="shared" si="1"/>
        <v>1.3333333333333333</v>
      </c>
      <c r="G17">
        <f t="shared" si="1"/>
        <v>-1.3333333333333333</v>
      </c>
      <c r="H17">
        <f t="shared" si="1"/>
        <v>1</v>
      </c>
      <c r="I17">
        <f t="shared" si="1"/>
        <v>5.3333333333333321</v>
      </c>
      <c r="K17">
        <f>I17/E17</f>
        <v>3.9999999999999987</v>
      </c>
    </row>
    <row r="18" spans="1:11" x14ac:dyDescent="0.3">
      <c r="C18" t="s">
        <v>17</v>
      </c>
      <c r="D18">
        <f>SUMPRODUCT(C16:C17,D16:D17)</f>
        <v>7</v>
      </c>
      <c r="E18">
        <f>SUMPRODUCT(C16:C17,E16:E17)</f>
        <v>4.6666666666666661</v>
      </c>
      <c r="F18">
        <f>SUMPRODUCT(C16:C17,F16:F17)</f>
        <v>-2.333333333333333</v>
      </c>
      <c r="G18">
        <f>SUMPRODUCT(C16:C17,G16:G17)</f>
        <v>2.333333333333333</v>
      </c>
      <c r="H18">
        <f>SUMPRODUCT(C16:C17,H16:H17)</f>
        <v>0</v>
      </c>
      <c r="I18">
        <f>SUMPRODUCT(C16:C17,I16:I17)</f>
        <v>46.666666666666671</v>
      </c>
    </row>
    <row r="19" spans="1:11" x14ac:dyDescent="0.3">
      <c r="C19" t="s">
        <v>18</v>
      </c>
      <c r="D19">
        <f>7-D18</f>
        <v>0</v>
      </c>
      <c r="E19" s="3">
        <f>6-E18</f>
        <v>1.3333333333333339</v>
      </c>
      <c r="F19">
        <f>-1-F18</f>
        <v>1.333333333333333</v>
      </c>
      <c r="G19">
        <f>0-G18</f>
        <v>-2.333333333333333</v>
      </c>
      <c r="H19">
        <f>0-H18</f>
        <v>0</v>
      </c>
      <c r="I19">
        <f>52-I18</f>
        <v>5.3333333333333286</v>
      </c>
    </row>
    <row r="21" spans="1:11" x14ac:dyDescent="0.3">
      <c r="B21" s="5" t="s">
        <v>11</v>
      </c>
      <c r="C21" s="5" t="s">
        <v>12</v>
      </c>
      <c r="D21" s="5" t="s">
        <v>23</v>
      </c>
      <c r="E21" s="5" t="s">
        <v>24</v>
      </c>
      <c r="F21" s="5" t="s">
        <v>13</v>
      </c>
      <c r="G21" s="5" t="s">
        <v>26</v>
      </c>
      <c r="H21" s="5" t="s">
        <v>27</v>
      </c>
      <c r="I21" s="5" t="s">
        <v>16</v>
      </c>
      <c r="J21" s="5"/>
      <c r="K21" s="5" t="s">
        <v>19</v>
      </c>
    </row>
    <row r="22" spans="1:11" x14ac:dyDescent="0.3">
      <c r="B22" t="s">
        <v>23</v>
      </c>
      <c r="C22">
        <v>7</v>
      </c>
      <c r="D22">
        <f>-0.6666667*D23+D16</f>
        <v>1</v>
      </c>
      <c r="E22">
        <v>0</v>
      </c>
      <c r="F22">
        <f t="shared" ref="F22:I22" si="2">-0.6666667*F23+F16</f>
        <v>-1.0000002000000499</v>
      </c>
      <c r="G22">
        <f t="shared" si="2"/>
        <v>1.0000002000000499</v>
      </c>
      <c r="H22">
        <f t="shared" si="2"/>
        <v>-0.50000015000003739</v>
      </c>
      <c r="I22">
        <v>4</v>
      </c>
    </row>
    <row r="23" spans="1:11" x14ac:dyDescent="0.3">
      <c r="B23" t="s">
        <v>24</v>
      </c>
      <c r="C23">
        <v>6</v>
      </c>
      <c r="D23">
        <f>D17/1.333333</f>
        <v>0</v>
      </c>
      <c r="E23">
        <f>E17/1.333333</f>
        <v>1.0000002500000624</v>
      </c>
      <c r="F23">
        <f t="shared" ref="F23:I23" si="3">F17/1.333333</f>
        <v>1.0000002500000624</v>
      </c>
      <c r="G23">
        <f t="shared" si="3"/>
        <v>-1.0000002500000624</v>
      </c>
      <c r="H23">
        <f t="shared" si="3"/>
        <v>0.75000018750004682</v>
      </c>
      <c r="I23">
        <v>4</v>
      </c>
    </row>
    <row r="24" spans="1:11" x14ac:dyDescent="0.3">
      <c r="C24" t="s">
        <v>17</v>
      </c>
      <c r="D24">
        <f>SUMPRODUCT($C$22:$C$23,D22:D23)</f>
        <v>7</v>
      </c>
      <c r="E24">
        <v>6</v>
      </c>
      <c r="F24">
        <f t="shared" ref="E24:I24" si="4">SUMPRODUCT($C$22:$C$23,F22:F23)</f>
        <v>-0.99999989999997396</v>
      </c>
      <c r="G24">
        <f t="shared" si="4"/>
        <v>0.99999989999997396</v>
      </c>
      <c r="H24">
        <f t="shared" si="4"/>
        <v>1.0000000750000195</v>
      </c>
      <c r="I24">
        <f t="shared" si="4"/>
        <v>52</v>
      </c>
    </row>
    <row r="25" spans="1:11" x14ac:dyDescent="0.3">
      <c r="C25" t="s">
        <v>18</v>
      </c>
      <c r="D25">
        <f>7-D24</f>
        <v>0</v>
      </c>
      <c r="E25">
        <f>6-E24</f>
        <v>0</v>
      </c>
      <c r="F25">
        <v>0</v>
      </c>
      <c r="G25">
        <f>0-G24</f>
        <v>-0.99999989999997396</v>
      </c>
      <c r="H25">
        <f>0-H24</f>
        <v>-1.0000000750000195</v>
      </c>
      <c r="I25">
        <f>52-I24</f>
        <v>0</v>
      </c>
    </row>
    <row r="27" spans="1:11" x14ac:dyDescent="0.3">
      <c r="A27" t="s">
        <v>28</v>
      </c>
      <c r="B27" t="s">
        <v>11</v>
      </c>
      <c r="C27" t="s">
        <v>12</v>
      </c>
      <c r="D27" t="s">
        <v>23</v>
      </c>
      <c r="E27" t="s">
        <v>24</v>
      </c>
      <c r="F27" t="s">
        <v>16</v>
      </c>
    </row>
    <row r="28" spans="1:11" x14ac:dyDescent="0.3">
      <c r="B28" t="s">
        <v>23</v>
      </c>
      <c r="C28">
        <v>2</v>
      </c>
      <c r="D28">
        <v>1</v>
      </c>
      <c r="E28">
        <v>0</v>
      </c>
      <c r="F28">
        <v>4</v>
      </c>
    </row>
    <row r="29" spans="1:11" x14ac:dyDescent="0.3">
      <c r="B29" t="s">
        <v>24</v>
      </c>
      <c r="C29">
        <v>7</v>
      </c>
      <c r="D29">
        <v>0</v>
      </c>
      <c r="E29">
        <v>1.0000002500000624</v>
      </c>
      <c r="F29">
        <v>4</v>
      </c>
    </row>
    <row r="30" spans="1:11" x14ac:dyDescent="0.3">
      <c r="C30" t="s">
        <v>4</v>
      </c>
      <c r="D30">
        <f>SUMPRODUCT(C28:C29,D28:D29)</f>
        <v>2</v>
      </c>
      <c r="E30">
        <v>7</v>
      </c>
      <c r="F30">
        <f>SUMPRODUCT(C28:C29,F28:F29)</f>
        <v>36</v>
      </c>
    </row>
    <row r="31" spans="1:11" x14ac:dyDescent="0.3">
      <c r="C31" t="s">
        <v>29</v>
      </c>
      <c r="D31">
        <v>0</v>
      </c>
      <c r="E31">
        <f>7-E30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Exemplo1-completo</vt:lpstr>
      <vt:lpstr>Exemplo2-completo</vt:lpstr>
      <vt:lpstr>Exemplo3-completo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Silva</dc:creator>
  <cp:lastModifiedBy>Clayton Silva</cp:lastModifiedBy>
  <dcterms:created xsi:type="dcterms:W3CDTF">2026-09-14T18:51:26Z</dcterms:created>
  <dcterms:modified xsi:type="dcterms:W3CDTF">2026-09-14T20:53:29Z</dcterms:modified>
</cp:coreProperties>
</file>